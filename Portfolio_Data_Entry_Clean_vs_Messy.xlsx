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gnu\Downloads\"/>
    </mc:Choice>
  </mc:AlternateContent>
  <xr:revisionPtr revIDLastSave="0" documentId="13_ncr:1_{2FEE66EA-B1A9-43F2-B115-E9810D5E1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Before (Messy)" sheetId="1" r:id="rId1"/>
    <sheet name="Data After (Cleaned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2" l="1"/>
  <c r="H54" i="2"/>
  <c r="H53" i="2"/>
  <c r="H52" i="2"/>
  <c r="H51" i="2"/>
  <c r="H50" i="2"/>
  <c r="H49" i="2"/>
  <c r="H55" i="2" s="1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<sst xmlns="http://schemas.openxmlformats.org/spreadsheetml/2006/main" count="843" uniqueCount="487">
  <si>
    <t>PORTFOLIO DATA ENTRY - RAW &amp; MESSY DATA (BEFORE CLEANING)</t>
  </si>
  <si>
    <t>Order ID</t>
  </si>
  <si>
    <t>Order Date</t>
  </si>
  <si>
    <t>Customer Name</t>
  </si>
  <si>
    <t>Customer Email</t>
  </si>
  <si>
    <t>Product Category</t>
  </si>
  <si>
    <t>Quantity</t>
  </si>
  <si>
    <t>Unit Price</t>
  </si>
  <si>
    <t>Total Sales</t>
  </si>
  <si>
    <t>Order Status</t>
  </si>
  <si>
    <t>Shipping Country</t>
  </si>
  <si>
    <t>ORD-2026-001</t>
  </si>
  <si>
    <t>01/29/2026</t>
  </si>
  <si>
    <t>John  Wijaya</t>
  </si>
  <si>
    <t>JOHN.WIJAYA@EXAMPLE.COM</t>
  </si>
  <si>
    <t>home</t>
  </si>
  <si>
    <t xml:space="preserve"> 2 pcs </t>
  </si>
  <si>
    <t>$93.66</t>
  </si>
  <si>
    <t>cancelled</t>
  </si>
  <si>
    <t>usa</t>
  </si>
  <si>
    <t>ORD-2026-002</t>
  </si>
  <si>
    <t xml:space="preserve">  2026/05/20 </t>
  </si>
  <si>
    <t xml:space="preserve">   James Brown   </t>
  </si>
  <si>
    <t xml:space="preserve"> james.brown@example.com </t>
  </si>
  <si>
    <t>books</t>
  </si>
  <si>
    <t>5</t>
  </si>
  <si>
    <t xml:space="preserve">  19.74 </t>
  </si>
  <si>
    <t>$98.69999999999999</t>
  </si>
  <si>
    <t>kirim</t>
  </si>
  <si>
    <t>DE</t>
  </si>
  <si>
    <t>ORD-2026-003</t>
  </si>
  <si>
    <t xml:space="preserve">  2026/04/02 </t>
  </si>
  <si>
    <t>DEWI MILLER</t>
  </si>
  <si>
    <t>dewi.miller @ example .com</t>
  </si>
  <si>
    <t>SPORTS</t>
  </si>
  <si>
    <t>3</t>
  </si>
  <si>
    <t>$166.25</t>
  </si>
  <si>
    <t>C</t>
  </si>
  <si>
    <t>Sgp</t>
  </si>
  <si>
    <t>ORD-2026-004</t>
  </si>
  <si>
    <t>02/19/2026</t>
  </si>
  <si>
    <t>Siti  Johnson</t>
  </si>
  <si>
    <t xml:space="preserve"> siti.johnson@example.com </t>
  </si>
  <si>
    <t xml:space="preserve">  Electronics </t>
  </si>
  <si>
    <t>2</t>
  </si>
  <si>
    <t xml:space="preserve">  961.72 </t>
  </si>
  <si>
    <t>$1923.44</t>
  </si>
  <si>
    <t>SHIPPED</t>
  </si>
  <si>
    <t>ORD-2026-005</t>
  </si>
  <si>
    <t xml:space="preserve">  2026/03/10 </t>
  </si>
  <si>
    <t>Siti  Hidayat</t>
  </si>
  <si>
    <t xml:space="preserve"> siti.hidayat@example.com </t>
  </si>
  <si>
    <t>ELECTRONICS</t>
  </si>
  <si>
    <t>$816.73</t>
  </si>
  <si>
    <t>$4083.65</t>
  </si>
  <si>
    <t>japan</t>
  </si>
  <si>
    <t>ORD-2026-006</t>
  </si>
  <si>
    <t xml:space="preserve">  2026/04/13 </t>
  </si>
  <si>
    <t>David  Johnson</t>
  </si>
  <si>
    <t>DAVID.JOHNSON@EXAMPLE.COM</t>
  </si>
  <si>
    <t>APPAREL</t>
  </si>
  <si>
    <t xml:space="preserve"> 5 pcs </t>
  </si>
  <si>
    <t>$71.96</t>
  </si>
  <si>
    <t>P</t>
  </si>
  <si>
    <t>IDN</t>
  </si>
  <si>
    <t>ORD-2026-007</t>
  </si>
  <si>
    <t>05/30/2026</t>
  </si>
  <si>
    <t>JAMES HIDAYAT</t>
  </si>
  <si>
    <t>JAMES.HIDAYAT@EXAMPLE.COM</t>
  </si>
  <si>
    <t>Olahraga</t>
  </si>
  <si>
    <t xml:space="preserve"> 4 pcs </t>
  </si>
  <si>
    <t>$88.35</t>
  </si>
  <si>
    <t>shipped</t>
  </si>
  <si>
    <t>australia</t>
  </si>
  <si>
    <t>ORD-2026-008</t>
  </si>
  <si>
    <t>Apr 08, 2026</t>
  </si>
  <si>
    <t xml:space="preserve">   Amanda Garcia   </t>
  </si>
  <si>
    <t>AMANDA.GARCIA@EXAMPLE.COM</t>
  </si>
  <si>
    <t xml:space="preserve">  194.94 </t>
  </si>
  <si>
    <t>$584.8199999999999</t>
  </si>
  <si>
    <t>Jepang</t>
  </si>
  <si>
    <t xml:space="preserve"> 2026-009 </t>
  </si>
  <si>
    <t>Feb 15, 2026</t>
  </si>
  <si>
    <t>robert hidayat</t>
  </si>
  <si>
    <t>robert.hidayat @ example .com</t>
  </si>
  <si>
    <t>elec</t>
  </si>
  <si>
    <t xml:space="preserve">  1033.75 </t>
  </si>
  <si>
    <t>$3101.25</t>
  </si>
  <si>
    <t xml:space="preserve"> 2026-010 </t>
  </si>
  <si>
    <t>03-03-26</t>
  </si>
  <si>
    <t>john brown</t>
  </si>
  <si>
    <t>john.brown @ example .com</t>
  </si>
  <si>
    <t>1</t>
  </si>
  <si>
    <t>$39.99</t>
  </si>
  <si>
    <t>tunda</t>
  </si>
  <si>
    <t>germany</t>
  </si>
  <si>
    <t>ORD-2026-011</t>
  </si>
  <si>
    <t xml:space="preserve">  2026/02/24 </t>
  </si>
  <si>
    <t>RIAN RODRIGUEZ</t>
  </si>
  <si>
    <t>RIAN.RODRIGUEZ@EXAMPLE.COM</t>
  </si>
  <si>
    <t>apparel</t>
  </si>
  <si>
    <t xml:space="preserve"> 3 pcs </t>
  </si>
  <si>
    <t>$40.93</t>
  </si>
  <si>
    <t>ORD-2026-012</t>
  </si>
  <si>
    <t>26-02-26</t>
  </si>
  <si>
    <t xml:space="preserve">   John Johnson   </t>
  </si>
  <si>
    <t>john.johnson @ example .com</t>
  </si>
  <si>
    <t>$220.77</t>
  </si>
  <si>
    <t>ORD-2026-013</t>
  </si>
  <si>
    <t xml:space="preserve">  2026/05/02 </t>
  </si>
  <si>
    <t>ANDI DAVIS</t>
  </si>
  <si>
    <t>andi.davis @ example .com</t>
  </si>
  <si>
    <t>baju/pakaian</t>
  </si>
  <si>
    <t>$21.3</t>
  </si>
  <si>
    <t>uk</t>
  </si>
  <si>
    <t>ORD-2026-014</t>
  </si>
  <si>
    <t>28-01-26</t>
  </si>
  <si>
    <t>SARAH BROWN</t>
  </si>
  <si>
    <t xml:space="preserve"> sarah.brown@example.com </t>
  </si>
  <si>
    <t>$44.16</t>
  </si>
  <si>
    <t>pending</t>
  </si>
  <si>
    <t>ID</t>
  </si>
  <si>
    <t xml:space="preserve"> 2026-015 </t>
  </si>
  <si>
    <t>03/02/2026</t>
  </si>
  <si>
    <t>Michael  Davis</t>
  </si>
  <si>
    <t xml:space="preserve"> michael.davis@example.com </t>
  </si>
  <si>
    <t>BOOKS</t>
  </si>
  <si>
    <t>4</t>
  </si>
  <si>
    <t>$17.48</t>
  </si>
  <si>
    <t>U.S.A.</t>
  </si>
  <si>
    <t>ORD-2026-016</t>
  </si>
  <si>
    <t>02/09/2026</t>
  </si>
  <si>
    <t>SARAH JONES</t>
  </si>
  <si>
    <t>sarah.jones @ example .com</t>
  </si>
  <si>
    <t>$52.65</t>
  </si>
  <si>
    <t>batal</t>
  </si>
  <si>
    <t>US</t>
  </si>
  <si>
    <t>ORD-2026-017</t>
  </si>
  <si>
    <t>02/17/2026</t>
  </si>
  <si>
    <t>JANE WILSON</t>
  </si>
  <si>
    <t xml:space="preserve"> jane.wilson@example.com </t>
  </si>
  <si>
    <t>electronic</t>
  </si>
  <si>
    <t>$573.96</t>
  </si>
  <si>
    <t>ORD-2026-018</t>
  </si>
  <si>
    <t>03/09/2026</t>
  </si>
  <si>
    <t>JAMES WILLIAMS</t>
  </si>
  <si>
    <t>james.williams @ example .com</t>
  </si>
  <si>
    <t>$124.34</t>
  </si>
  <si>
    <t>ORD-2026-019</t>
  </si>
  <si>
    <t>04/05/2026</t>
  </si>
  <si>
    <t xml:space="preserve">   David Williams   </t>
  </si>
  <si>
    <t>david.williams @ example .com</t>
  </si>
  <si>
    <t>$34.62</t>
  </si>
  <si>
    <t>$173.1</t>
  </si>
  <si>
    <t>Jerman</t>
  </si>
  <si>
    <t>ORD-2026-020</t>
  </si>
  <si>
    <t>May 22, 2026</t>
  </si>
  <si>
    <t>Michael  Jones</t>
  </si>
  <si>
    <t xml:space="preserve"> michael.jones@example.com </t>
  </si>
  <si>
    <t xml:space="preserve">  89.51 </t>
  </si>
  <si>
    <t>ORD-2026-021</t>
  </si>
  <si>
    <t>03/27/2026</t>
  </si>
  <si>
    <t>ANDI WILLIAMS</t>
  </si>
  <si>
    <t>ANDI.WILLIAMS@EXAMPLE.COM</t>
  </si>
  <si>
    <t>Dapur</t>
  </si>
  <si>
    <t>$264.61</t>
  </si>
  <si>
    <t>$529.22</t>
  </si>
  <si>
    <t>ORD-2026-022</t>
  </si>
  <si>
    <t>22-05-26</t>
  </si>
  <si>
    <t>MICHAEL DAVIS</t>
  </si>
  <si>
    <t xml:space="preserve">  35.04 </t>
  </si>
  <si>
    <t>S</t>
  </si>
  <si>
    <t>UK</t>
  </si>
  <si>
    <t>ORD-2026-023</t>
  </si>
  <si>
    <t xml:space="preserve">  2026/02/11 </t>
  </si>
  <si>
    <t>andi kurniawan</t>
  </si>
  <si>
    <t xml:space="preserve"> andi.kurniawan@example.com </t>
  </si>
  <si>
    <t>$16.61</t>
  </si>
  <si>
    <t xml:space="preserve"> 2026-024 </t>
  </si>
  <si>
    <t>Sarah  Lestari</t>
  </si>
  <si>
    <t xml:space="preserve"> sarah.lestari@example.com </t>
  </si>
  <si>
    <t xml:space="preserve">  20.68 </t>
  </si>
  <si>
    <t xml:space="preserve"> 2026-025 </t>
  </si>
  <si>
    <t xml:space="preserve">  2026/05/18 </t>
  </si>
  <si>
    <t xml:space="preserve">   Emily Smith   </t>
  </si>
  <si>
    <t>emily.smith @ example .com</t>
  </si>
  <si>
    <t>$337.50</t>
  </si>
  <si>
    <t>$1012.5</t>
  </si>
  <si>
    <t>ORD-2026-026</t>
  </si>
  <si>
    <t>07-03-26</t>
  </si>
  <si>
    <t xml:space="preserve">   John Wijaya   </t>
  </si>
  <si>
    <t xml:space="preserve"> john.wijaya@example.com </t>
  </si>
  <si>
    <t xml:space="preserve">  28.2 </t>
  </si>
  <si>
    <t>JP</t>
  </si>
  <si>
    <t xml:space="preserve"> 2026-027 </t>
  </si>
  <si>
    <t xml:space="preserve">  2026/03/18 </t>
  </si>
  <si>
    <t>Robert  Jones</t>
  </si>
  <si>
    <t>robert.jones @ example .com</t>
  </si>
  <si>
    <t>buku</t>
  </si>
  <si>
    <t>$24.08</t>
  </si>
  <si>
    <t>AUS</t>
  </si>
  <si>
    <t>ORD-2026-028</t>
  </si>
  <si>
    <t xml:space="preserve">  2026/01/01 </t>
  </si>
  <si>
    <t>David  Jones</t>
  </si>
  <si>
    <t>david.jones @ example .com</t>
  </si>
  <si>
    <t>$66.07</t>
  </si>
  <si>
    <t>$264.28</t>
  </si>
  <si>
    <t>ORD-2026-029</t>
  </si>
  <si>
    <t>12-05-26</t>
  </si>
  <si>
    <t>budi santoso</t>
  </si>
  <si>
    <t>BUDI.SANTOSO@EXAMPLE.COM</t>
  </si>
  <si>
    <t>sports</t>
  </si>
  <si>
    <t xml:space="preserve">  41.34 </t>
  </si>
  <si>
    <t>ORD-2026-030</t>
  </si>
  <si>
    <t>17-04-26</t>
  </si>
  <si>
    <t>RIAN SANTOSO</t>
  </si>
  <si>
    <t>RIAN.SANTOSO@EXAMPLE.COM</t>
  </si>
  <si>
    <t>$150.71</t>
  </si>
  <si>
    <t>ORD-2026-031</t>
  </si>
  <si>
    <t>Mar 05, 2026</t>
  </si>
  <si>
    <t>Rian  Lestari</t>
  </si>
  <si>
    <t>rian.lestari @ example .com</t>
  </si>
  <si>
    <t>$290.01</t>
  </si>
  <si>
    <t>ORD-2026-032</t>
  </si>
  <si>
    <t>May 02, 2026</t>
  </si>
  <si>
    <t>Jessica  Jones</t>
  </si>
  <si>
    <t>JESSICA.JONES@EXAMPLE.COM</t>
  </si>
  <si>
    <t xml:space="preserve">  64.78 </t>
  </si>
  <si>
    <t>SG</t>
  </si>
  <si>
    <t>ORD-2026-033</t>
  </si>
  <si>
    <t xml:space="preserve">  2026/02/05 </t>
  </si>
  <si>
    <t>Michael  Brown</t>
  </si>
  <si>
    <t>MICHAEL.BROWN@EXAMPLE.COM</t>
  </si>
  <si>
    <t xml:space="preserve">  34.72 </t>
  </si>
  <si>
    <t>ORD-2026-034</t>
  </si>
  <si>
    <t>08-04-26</t>
  </si>
  <si>
    <t>Jessica  Smith</t>
  </si>
  <si>
    <t>JESSICA.SMITH@EXAMPLE.COM</t>
  </si>
  <si>
    <t>HOME &amp; KITCHEN</t>
  </si>
  <si>
    <t>$268.65</t>
  </si>
  <si>
    <t>ORD-2026-035</t>
  </si>
  <si>
    <t>04/14/2026</t>
  </si>
  <si>
    <t>SITI WILLIAMS</t>
  </si>
  <si>
    <t>siti.williams @ example .com</t>
  </si>
  <si>
    <t xml:space="preserve">  44.33 </t>
  </si>
  <si>
    <t>$88.66</t>
  </si>
  <si>
    <t>ORD-2026-036</t>
  </si>
  <si>
    <t xml:space="preserve">  2026/03/25 </t>
  </si>
  <si>
    <t xml:space="preserve">   Sarah Garcia   </t>
  </si>
  <si>
    <t>SARAH.GARCIA@EXAMPLE.COM</t>
  </si>
  <si>
    <t>$271.21</t>
  </si>
  <si>
    <t>$813.6299999999999</t>
  </si>
  <si>
    <t xml:space="preserve"> 2026-037 </t>
  </si>
  <si>
    <t>18-01-26</t>
  </si>
  <si>
    <t>andi santoso</t>
  </si>
  <si>
    <t>ANDI.SANTOSO@EXAMPLE.COM</t>
  </si>
  <si>
    <t>$1,147.09</t>
  </si>
  <si>
    <t xml:space="preserve"> 2026-038 </t>
  </si>
  <si>
    <t xml:space="preserve">   Andi Miller   </t>
  </si>
  <si>
    <t>ANDI.MILLER@EXAMPLE.COM</t>
  </si>
  <si>
    <t xml:space="preserve">  54.47 </t>
  </si>
  <si>
    <t>ORD-2026-039</t>
  </si>
  <si>
    <t>02/20/2026</t>
  </si>
  <si>
    <t xml:space="preserve">  60.32 </t>
  </si>
  <si>
    <t>$60.32</t>
  </si>
  <si>
    <t>ORD-2026-040</t>
  </si>
  <si>
    <t xml:space="preserve">  2026/01/04 </t>
  </si>
  <si>
    <t>dewi davis</t>
  </si>
  <si>
    <t xml:space="preserve"> dewi.davis@example.com </t>
  </si>
  <si>
    <t>$25.17</t>
  </si>
  <si>
    <t>ORD-2026-041</t>
  </si>
  <si>
    <t>Apr 30, 2026</t>
  </si>
  <si>
    <t>James  Lestari</t>
  </si>
  <si>
    <t>JAMES.LESTARI@EXAMPLE.COM</t>
  </si>
  <si>
    <t>$81.40</t>
  </si>
  <si>
    <t>ORD-2026-042</t>
  </si>
  <si>
    <t>Mar 25, 2026</t>
  </si>
  <si>
    <t>MICHAEL GARCIA</t>
  </si>
  <si>
    <t>michael.garcia @ example .com</t>
  </si>
  <si>
    <t>$66.86</t>
  </si>
  <si>
    <t>ORD-2026-043</t>
  </si>
  <si>
    <t>02-05-26</t>
  </si>
  <si>
    <t xml:space="preserve">   Budi Wijaya   </t>
  </si>
  <si>
    <t>budi.wijaya @ example .com</t>
  </si>
  <si>
    <t>$37.75</t>
  </si>
  <si>
    <t>United Kingdom</t>
  </si>
  <si>
    <t>ORD-2026-044</t>
  </si>
  <si>
    <t>May 21, 2026</t>
  </si>
  <si>
    <t>EMILY MILLER</t>
  </si>
  <si>
    <t>emily.miller @ example .com</t>
  </si>
  <si>
    <t>$20.73</t>
  </si>
  <si>
    <t>$62.19</t>
  </si>
  <si>
    <t xml:space="preserve"> 2026-045 </t>
  </si>
  <si>
    <t>12-03-26</t>
  </si>
  <si>
    <t xml:space="preserve">   Siti Wilson   </t>
  </si>
  <si>
    <t>SITI.WILSON@EXAMPLE.COM</t>
  </si>
  <si>
    <t>$74.52</t>
  </si>
  <si>
    <t>$372.59999999999997</t>
  </si>
  <si>
    <t>ORD-2026-046</t>
  </si>
  <si>
    <t xml:space="preserve">  2026/05/22 </t>
  </si>
  <si>
    <t>David  Wijaya</t>
  </si>
  <si>
    <t xml:space="preserve"> david.wijaya@example.com </t>
  </si>
  <si>
    <t xml:space="preserve">  21.67 </t>
  </si>
  <si>
    <t>AU</t>
  </si>
  <si>
    <t xml:space="preserve"> 2026-047 </t>
  </si>
  <si>
    <t>Jan 17, 2026</t>
  </si>
  <si>
    <t>JAMES GARCIA</t>
  </si>
  <si>
    <t>JAMES.GARCIA@EXAMPLE.COM</t>
  </si>
  <si>
    <t xml:space="preserve">  810.92 </t>
  </si>
  <si>
    <t>ORD-2026-048</t>
  </si>
  <si>
    <t>04/08/2026</t>
  </si>
  <si>
    <t>JESSICA HIDAYAT</t>
  </si>
  <si>
    <t>JESSICA.HIDAYAT@EXAMPLE.COM</t>
  </si>
  <si>
    <t>$40.11</t>
  </si>
  <si>
    <t>$120.33</t>
  </si>
  <si>
    <t>ORD-2026-049</t>
  </si>
  <si>
    <t xml:space="preserve">   Jane Williams   </t>
  </si>
  <si>
    <t>jane.williams @ example .com</t>
  </si>
  <si>
    <t xml:space="preserve">  623.03 </t>
  </si>
  <si>
    <t>$2492.12</t>
  </si>
  <si>
    <t>singapore</t>
  </si>
  <si>
    <t xml:space="preserve"> 2026-050 </t>
  </si>
  <si>
    <t>May 31, 2026</t>
  </si>
  <si>
    <t>budi kurniawan</t>
  </si>
  <si>
    <t>BUDI.KURNIAWAN@EXAMPLE.COM</t>
  </si>
  <si>
    <t xml:space="preserve">  22.46 </t>
  </si>
  <si>
    <t>PORTFOLIO DATA ENTRY - CLEANED &amp; FORMATTED DATA (AFTER CLEANING)</t>
  </si>
  <si>
    <t>2026-01-29</t>
  </si>
  <si>
    <t>John Wijaya</t>
  </si>
  <si>
    <t>john.wijaya@example.com</t>
  </si>
  <si>
    <t>Home &amp; Kitchen</t>
  </si>
  <si>
    <t>Cancelled</t>
  </si>
  <si>
    <t>United States</t>
  </si>
  <si>
    <t>2026-05-20</t>
  </si>
  <si>
    <t>James Brown</t>
  </si>
  <si>
    <t>james.brown@example.com</t>
  </si>
  <si>
    <t>Books</t>
  </si>
  <si>
    <t>Shipped</t>
  </si>
  <si>
    <t>Germany</t>
  </si>
  <si>
    <t>2026-04-02</t>
  </si>
  <si>
    <t>Dewi Miller</t>
  </si>
  <si>
    <t>dewi.miller@example.com</t>
  </si>
  <si>
    <t>Sports &amp; Outdoors</t>
  </si>
  <si>
    <t>Singapore</t>
  </si>
  <si>
    <t>2026-02-19</t>
  </si>
  <si>
    <t>Siti Johnson</t>
  </si>
  <si>
    <t>siti.johnson@example.com</t>
  </si>
  <si>
    <t>Electronics</t>
  </si>
  <si>
    <t>2026-03-10</t>
  </si>
  <si>
    <t>Siti Hidayat</t>
  </si>
  <si>
    <t>siti.hidayat@example.com</t>
  </si>
  <si>
    <t>Japan</t>
  </si>
  <si>
    <t>2026-04-13</t>
  </si>
  <si>
    <t>David Johnson</t>
  </si>
  <si>
    <t>david.johnson@example.com</t>
  </si>
  <si>
    <t>Apparel</t>
  </si>
  <si>
    <t>Pending</t>
  </si>
  <si>
    <t>Indonesia</t>
  </si>
  <si>
    <t>2026-05-30</t>
  </si>
  <si>
    <t>James Hidayat</t>
  </si>
  <si>
    <t>james.hidayat@example.com</t>
  </si>
  <si>
    <t>Australia</t>
  </si>
  <si>
    <t>2026-04-08</t>
  </si>
  <si>
    <t>Amanda Garcia</t>
  </si>
  <si>
    <t>amanda.garcia@example.com</t>
  </si>
  <si>
    <t>ORD-2026-009</t>
  </si>
  <si>
    <t>2026-02-15</t>
  </si>
  <si>
    <t>Robert Hidayat</t>
  </si>
  <si>
    <t>robert.hidayat@example.com</t>
  </si>
  <si>
    <t>ORD-2026-010</t>
  </si>
  <si>
    <t>2026-03-03</t>
  </si>
  <si>
    <t>John Brown</t>
  </si>
  <si>
    <t>john.brown@example.com</t>
  </si>
  <si>
    <t>2026-02-24</t>
  </si>
  <si>
    <t>Rian Rodriguez</t>
  </si>
  <si>
    <t>rian.rodriguez@example.com</t>
  </si>
  <si>
    <t>2026-02-26</t>
  </si>
  <si>
    <t>John Johnson</t>
  </si>
  <si>
    <t>john.johnson@example.com</t>
  </si>
  <si>
    <t>2026-05-02</t>
  </si>
  <si>
    <t>Andi Davis</t>
  </si>
  <si>
    <t>andi.davis@example.com</t>
  </si>
  <si>
    <t>2026-01-28</t>
  </si>
  <si>
    <t>Sarah Brown</t>
  </si>
  <si>
    <t>sarah.brown@example.com</t>
  </si>
  <si>
    <t>ORD-2026-015</t>
  </si>
  <si>
    <t>2026-03-02</t>
  </si>
  <si>
    <t>Michael Davis</t>
  </si>
  <si>
    <t>michael.davis@example.com</t>
  </si>
  <si>
    <t>2026-02-09</t>
  </si>
  <si>
    <t>Sarah Jones</t>
  </si>
  <si>
    <t>sarah.jones@example.com</t>
  </si>
  <si>
    <t>2026-02-17</t>
  </si>
  <si>
    <t>Jane Wilson</t>
  </si>
  <si>
    <t>jane.wilson@example.com</t>
  </si>
  <si>
    <t>2026-03-09</t>
  </si>
  <si>
    <t>James Williams</t>
  </si>
  <si>
    <t>james.williams@example.com</t>
  </si>
  <si>
    <t>2026-04-05</t>
  </si>
  <si>
    <t>David Williams</t>
  </si>
  <si>
    <t>david.williams@example.com</t>
  </si>
  <si>
    <t>2026-05-22</t>
  </si>
  <si>
    <t>Michael Jones</t>
  </si>
  <si>
    <t>michael.jones@example.com</t>
  </si>
  <si>
    <t>2026-03-27</t>
  </si>
  <si>
    <t>Andi Williams</t>
  </si>
  <si>
    <t>andi.williams@example.com</t>
  </si>
  <si>
    <t>2026-02-11</t>
  </si>
  <si>
    <t>Andi Kurniawan</t>
  </si>
  <si>
    <t>andi.kurniawan@example.com</t>
  </si>
  <si>
    <t>ORD-2026-024</t>
  </si>
  <si>
    <t>Sarah Lestari</t>
  </si>
  <si>
    <t>sarah.lestari@example.com</t>
  </si>
  <si>
    <t>ORD-2026-025</t>
  </si>
  <si>
    <t>2026-05-18</t>
  </si>
  <si>
    <t>Emily Smith</t>
  </si>
  <si>
    <t>emily.smith@example.com</t>
  </si>
  <si>
    <t>2026-03-07</t>
  </si>
  <si>
    <t>ORD-2026-027</t>
  </si>
  <si>
    <t>2026-03-18</t>
  </si>
  <si>
    <t>Robert Jones</t>
  </si>
  <si>
    <t>robert.jones@example.com</t>
  </si>
  <si>
    <t>2026-01-01</t>
  </si>
  <si>
    <t>David Jones</t>
  </si>
  <si>
    <t>david.jones@example.com</t>
  </si>
  <si>
    <t>2026-05-12</t>
  </si>
  <si>
    <t>Budi Santoso</t>
  </si>
  <si>
    <t>budi.santoso@example.com</t>
  </si>
  <si>
    <t>2026-04-17</t>
  </si>
  <si>
    <t>Rian Santoso</t>
  </si>
  <si>
    <t>rian.santoso@example.com</t>
  </si>
  <si>
    <t>2026-03-05</t>
  </si>
  <si>
    <t>Rian Lestari</t>
  </si>
  <si>
    <t>rian.lestari@example.com</t>
  </si>
  <si>
    <t>Jessica Jones</t>
  </si>
  <si>
    <t>jessica.jones@example.com</t>
  </si>
  <si>
    <t>2026-02-05</t>
  </si>
  <si>
    <t>Michael Brown</t>
  </si>
  <si>
    <t>michael.brown@example.com</t>
  </si>
  <si>
    <t>Jessica Smith</t>
  </si>
  <si>
    <t>jessica.smith@example.com</t>
  </si>
  <si>
    <t>2026-04-14</t>
  </si>
  <si>
    <t>Siti Williams</t>
  </si>
  <si>
    <t>siti.williams@example.com</t>
  </si>
  <si>
    <t>2026-03-25</t>
  </si>
  <si>
    <t>Sarah Garcia</t>
  </si>
  <si>
    <t>sarah.garcia@example.com</t>
  </si>
  <si>
    <t>ORD-2026-037</t>
  </si>
  <si>
    <t>2026-01-18</t>
  </si>
  <si>
    <t>Andi Santoso</t>
  </si>
  <si>
    <t>andi.santoso@example.com</t>
  </si>
  <si>
    <t>ORD-2026-038</t>
  </si>
  <si>
    <t>Andi Miller</t>
  </si>
  <si>
    <t>andi.miller@example.com</t>
  </si>
  <si>
    <t>2026-02-20</t>
  </si>
  <si>
    <t>2026-01-04</t>
  </si>
  <si>
    <t>Dewi Davis</t>
  </si>
  <si>
    <t>dewi.davis@example.com</t>
  </si>
  <si>
    <t>2026-04-30</t>
  </si>
  <si>
    <t>James Lestari</t>
  </si>
  <si>
    <t>james.lestari@example.com</t>
  </si>
  <si>
    <t>Michael Garcia</t>
  </si>
  <si>
    <t>michael.garcia@example.com</t>
  </si>
  <si>
    <t>Budi Wijaya</t>
  </si>
  <si>
    <t>budi.wijaya@example.com</t>
  </si>
  <si>
    <t>2026-05-21</t>
  </si>
  <si>
    <t>Emily Miller</t>
  </si>
  <si>
    <t>emily.miller@example.com</t>
  </si>
  <si>
    <t>ORD-2026-045</t>
  </si>
  <si>
    <t>2026-03-12</t>
  </si>
  <si>
    <t>Siti Wilson</t>
  </si>
  <si>
    <t>siti.wilson@example.com</t>
  </si>
  <si>
    <t>David Wijaya</t>
  </si>
  <si>
    <t>david.wijaya@example.com</t>
  </si>
  <si>
    <t>ORD-2026-047</t>
  </si>
  <si>
    <t>2026-01-17</t>
  </si>
  <si>
    <t>James Garcia</t>
  </si>
  <si>
    <t>james.garcia@example.com</t>
  </si>
  <si>
    <t>Jessica Hidayat</t>
  </si>
  <si>
    <t>jessica.hidayat@example.com</t>
  </si>
  <si>
    <t>Jane Williams</t>
  </si>
  <si>
    <t>jane.williams@example.com</t>
  </si>
  <si>
    <t>ORD-2026-050</t>
  </si>
  <si>
    <t>2026-05-31</t>
  </si>
  <si>
    <t>Budi Kurniawan</t>
  </si>
  <si>
    <t>budi.kurniawan@example.com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</si>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</sst>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2C3E50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2C3E50"/>
        <bgColor rgb="FF2C3E50"/>
      </patternFill>
    </fill>
    <fill>
      <patternFill patternType="solid">
        <fgColor rgb="FFF9FAFC"/>
        <bgColor rgb="FFF9FAFC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double">
        <color rgb="FF2C3E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/>
    <xf numFmtId="3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A2" sqref="A2"/>
    </sheetView>
  </sheetViews>
  <sheetFormatPr defaultRowHeight="15"/>
  <cols>
    <col min="1" max="1" width="128" customWidth="1"/>
    <col min="2" max="2" width="15" customWidth="1"/>
    <col min="3" max="3" width="22" customWidth="1"/>
    <col min="4" max="4" width="31" customWidth="1"/>
    <col min="5" max="5" width="18" customWidth="1"/>
    <col min="6" max="7" width="12" customWidth="1"/>
    <col min="8" max="8" width="21" customWidth="1"/>
    <col min="9" max="9" width="14" customWidth="1"/>
    <col min="10" max="10" width="18" customWidth="1"/>
  </cols>
  <sheetData>
    <row r="1" spans="1:10">
      <c r="A1" t="s">
        <v>0</v>
      </c>
    </row>
    <row r="4" spans="1:1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I5" t="s">
        <v>18</v>
      </c>
      <c r="J5" t="s">
        <v>19</v>
      </c>
    </row>
    <row r="6" spans="1:1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</row>
    <row r="7" spans="1:10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I7" t="s">
        <v>37</v>
      </c>
      <c r="J7" t="s">
        <v>38</v>
      </c>
    </row>
    <row r="8" spans="1:10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29</v>
      </c>
    </row>
    <row r="9" spans="1:10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25</v>
      </c>
      <c r="G9" t="s">
        <v>53</v>
      </c>
      <c r="H9" t="s">
        <v>54</v>
      </c>
      <c r="I9" t="s">
        <v>18</v>
      </c>
      <c r="J9" t="s">
        <v>55</v>
      </c>
    </row>
    <row r="10" spans="1:10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I10" t="s">
        <v>63</v>
      </c>
      <c r="J10" t="s">
        <v>64</v>
      </c>
    </row>
    <row r="11" spans="1:10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I11" t="s">
        <v>72</v>
      </c>
      <c r="J11" t="s">
        <v>73</v>
      </c>
    </row>
    <row r="12" spans="1:10">
      <c r="A12" t="s">
        <v>74</v>
      </c>
      <c r="B12" t="s">
        <v>75</v>
      </c>
      <c r="C12" t="s">
        <v>76</v>
      </c>
      <c r="D12" t="s">
        <v>77</v>
      </c>
      <c r="E12" t="s">
        <v>34</v>
      </c>
      <c r="F12" t="s">
        <v>35</v>
      </c>
      <c r="G12" t="s">
        <v>78</v>
      </c>
      <c r="H12" t="s">
        <v>79</v>
      </c>
      <c r="I12" t="s">
        <v>47</v>
      </c>
      <c r="J12" t="s">
        <v>80</v>
      </c>
    </row>
    <row r="13" spans="1:10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35</v>
      </c>
      <c r="G13" t="s">
        <v>86</v>
      </c>
      <c r="H13" t="s">
        <v>87</v>
      </c>
      <c r="I13" t="s">
        <v>37</v>
      </c>
      <c r="J13" t="s">
        <v>73</v>
      </c>
    </row>
    <row r="14" spans="1:10">
      <c r="A14" t="s">
        <v>88</v>
      </c>
      <c r="B14" t="s">
        <v>89</v>
      </c>
      <c r="C14" t="s">
        <v>90</v>
      </c>
      <c r="D14" t="s">
        <v>91</v>
      </c>
      <c r="E14" t="s">
        <v>34</v>
      </c>
      <c r="F14" t="s">
        <v>92</v>
      </c>
      <c r="G14" t="s">
        <v>93</v>
      </c>
      <c r="H14" t="s">
        <v>93</v>
      </c>
      <c r="I14" t="s">
        <v>94</v>
      </c>
      <c r="J14" t="s">
        <v>95</v>
      </c>
    </row>
    <row r="15" spans="1:10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I15" t="s">
        <v>18</v>
      </c>
      <c r="J15" t="s">
        <v>80</v>
      </c>
    </row>
    <row r="16" spans="1:10">
      <c r="A16" t="s">
        <v>103</v>
      </c>
      <c r="B16" t="s">
        <v>104</v>
      </c>
      <c r="C16" t="s">
        <v>105</v>
      </c>
      <c r="D16" t="s">
        <v>106</v>
      </c>
      <c r="E16" t="s">
        <v>43</v>
      </c>
      <c r="F16" t="s">
        <v>44</v>
      </c>
      <c r="G16" t="s">
        <v>107</v>
      </c>
      <c r="I16" t="s">
        <v>28</v>
      </c>
      <c r="J16" t="s">
        <v>29</v>
      </c>
    </row>
    <row r="17" spans="1:10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92</v>
      </c>
      <c r="G17" t="s">
        <v>113</v>
      </c>
      <c r="H17" t="s">
        <v>113</v>
      </c>
      <c r="I17" t="s">
        <v>94</v>
      </c>
      <c r="J17" t="s">
        <v>114</v>
      </c>
    </row>
    <row r="18" spans="1:10">
      <c r="A18" t="s">
        <v>115</v>
      </c>
      <c r="B18" t="s">
        <v>116</v>
      </c>
      <c r="C18" t="s">
        <v>117</v>
      </c>
      <c r="D18" t="s">
        <v>118</v>
      </c>
      <c r="E18" t="s">
        <v>112</v>
      </c>
      <c r="F18" t="s">
        <v>61</v>
      </c>
      <c r="G18" t="s">
        <v>119</v>
      </c>
      <c r="I18" t="s">
        <v>120</v>
      </c>
      <c r="J18" t="s">
        <v>121</v>
      </c>
    </row>
    <row r="19" spans="1:10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I19" t="s">
        <v>94</v>
      </c>
      <c r="J19" t="s">
        <v>129</v>
      </c>
    </row>
    <row r="20" spans="1:10">
      <c r="A20" t="s">
        <v>130</v>
      </c>
      <c r="B20" t="s">
        <v>131</v>
      </c>
      <c r="C20" t="s">
        <v>132</v>
      </c>
      <c r="D20" t="s">
        <v>133</v>
      </c>
      <c r="E20" t="s">
        <v>60</v>
      </c>
      <c r="F20" t="s">
        <v>92</v>
      </c>
      <c r="G20" t="s">
        <v>134</v>
      </c>
      <c r="H20" t="s">
        <v>134</v>
      </c>
      <c r="I20" t="s">
        <v>135</v>
      </c>
      <c r="J20" t="s">
        <v>136</v>
      </c>
    </row>
    <row r="21" spans="1:10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44</v>
      </c>
      <c r="G21" t="s">
        <v>142</v>
      </c>
      <c r="I21" t="s">
        <v>37</v>
      </c>
      <c r="J21" t="s">
        <v>121</v>
      </c>
    </row>
    <row r="22" spans="1:10">
      <c r="A22" t="s">
        <v>143</v>
      </c>
      <c r="B22" t="s">
        <v>144</v>
      </c>
      <c r="C22" t="s">
        <v>145</v>
      </c>
      <c r="D22" t="s">
        <v>146</v>
      </c>
      <c r="E22" t="s">
        <v>15</v>
      </c>
      <c r="F22" t="s">
        <v>127</v>
      </c>
      <c r="G22" t="s">
        <v>147</v>
      </c>
      <c r="I22" t="s">
        <v>72</v>
      </c>
      <c r="J22" t="s">
        <v>19</v>
      </c>
    </row>
    <row r="23" spans="1:10">
      <c r="A23" t="s">
        <v>148</v>
      </c>
      <c r="B23" t="s">
        <v>149</v>
      </c>
      <c r="C23" t="s">
        <v>150</v>
      </c>
      <c r="D23" t="s">
        <v>151</v>
      </c>
      <c r="E23" t="s">
        <v>24</v>
      </c>
      <c r="F23" t="s">
        <v>25</v>
      </c>
      <c r="G23" t="s">
        <v>152</v>
      </c>
      <c r="H23" t="s">
        <v>153</v>
      </c>
      <c r="I23" t="s">
        <v>18</v>
      </c>
      <c r="J23" t="s">
        <v>154</v>
      </c>
    </row>
    <row r="24" spans="1:10">
      <c r="A24" t="s">
        <v>155</v>
      </c>
      <c r="B24" t="s">
        <v>156</v>
      </c>
      <c r="C24" t="s">
        <v>157</v>
      </c>
      <c r="D24" t="s">
        <v>158</v>
      </c>
      <c r="E24" t="s">
        <v>15</v>
      </c>
      <c r="F24" t="s">
        <v>61</v>
      </c>
      <c r="G24" t="s">
        <v>159</v>
      </c>
      <c r="I24" t="s">
        <v>120</v>
      </c>
      <c r="J24" t="s">
        <v>121</v>
      </c>
    </row>
    <row r="25" spans="1:10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44</v>
      </c>
      <c r="G25" t="s">
        <v>165</v>
      </c>
      <c r="H25" t="s">
        <v>166</v>
      </c>
      <c r="I25" t="s">
        <v>37</v>
      </c>
      <c r="J25" t="s">
        <v>80</v>
      </c>
    </row>
    <row r="26" spans="1:10">
      <c r="A26" t="s">
        <v>167</v>
      </c>
      <c r="B26" t="s">
        <v>168</v>
      </c>
      <c r="C26" t="s">
        <v>169</v>
      </c>
      <c r="D26" t="s">
        <v>125</v>
      </c>
      <c r="E26" t="s">
        <v>112</v>
      </c>
      <c r="F26" t="s">
        <v>92</v>
      </c>
      <c r="G26" t="s">
        <v>170</v>
      </c>
      <c r="I26" t="s">
        <v>171</v>
      </c>
      <c r="J26" t="s">
        <v>172</v>
      </c>
    </row>
    <row r="27" spans="1:10">
      <c r="A27" t="s">
        <v>173</v>
      </c>
      <c r="B27" t="s">
        <v>174</v>
      </c>
      <c r="C27" t="s">
        <v>175</v>
      </c>
      <c r="D27" t="s">
        <v>176</v>
      </c>
      <c r="E27" t="s">
        <v>100</v>
      </c>
      <c r="F27" t="s">
        <v>127</v>
      </c>
      <c r="G27" t="s">
        <v>177</v>
      </c>
      <c r="I27" t="s">
        <v>18</v>
      </c>
      <c r="J27" t="s">
        <v>114</v>
      </c>
    </row>
    <row r="28" spans="1:10">
      <c r="A28" t="s">
        <v>178</v>
      </c>
      <c r="B28" t="s">
        <v>104</v>
      </c>
      <c r="C28" t="s">
        <v>179</v>
      </c>
      <c r="D28" t="s">
        <v>180</v>
      </c>
      <c r="E28" t="s">
        <v>126</v>
      </c>
      <c r="F28" t="s">
        <v>35</v>
      </c>
      <c r="G28" t="s">
        <v>181</v>
      </c>
      <c r="I28" t="s">
        <v>28</v>
      </c>
      <c r="J28" t="s">
        <v>64</v>
      </c>
    </row>
    <row r="29" spans="1:10">
      <c r="A29" t="s">
        <v>182</v>
      </c>
      <c r="B29" t="s">
        <v>183</v>
      </c>
      <c r="C29" t="s">
        <v>184</v>
      </c>
      <c r="D29" t="s">
        <v>185</v>
      </c>
      <c r="E29" t="s">
        <v>141</v>
      </c>
      <c r="F29" t="s">
        <v>35</v>
      </c>
      <c r="G29" t="s">
        <v>186</v>
      </c>
      <c r="H29" t="s">
        <v>187</v>
      </c>
      <c r="I29" t="s">
        <v>94</v>
      </c>
      <c r="J29" t="s">
        <v>19</v>
      </c>
    </row>
    <row r="30" spans="1:10">
      <c r="A30" t="s">
        <v>188</v>
      </c>
      <c r="B30" t="s">
        <v>189</v>
      </c>
      <c r="C30" t="s">
        <v>190</v>
      </c>
      <c r="D30" t="s">
        <v>191</v>
      </c>
      <c r="E30" t="s">
        <v>24</v>
      </c>
      <c r="F30" t="s">
        <v>92</v>
      </c>
      <c r="G30" t="s">
        <v>192</v>
      </c>
      <c r="I30" t="s">
        <v>135</v>
      </c>
      <c r="J30" t="s">
        <v>193</v>
      </c>
    </row>
    <row r="31" spans="1:10">
      <c r="A31" t="s">
        <v>194</v>
      </c>
      <c r="B31" t="s">
        <v>195</v>
      </c>
      <c r="C31" t="s">
        <v>196</v>
      </c>
      <c r="D31" t="s">
        <v>197</v>
      </c>
      <c r="E31" t="s">
        <v>198</v>
      </c>
      <c r="F31" t="s">
        <v>35</v>
      </c>
      <c r="G31" t="s">
        <v>199</v>
      </c>
      <c r="I31" t="s">
        <v>63</v>
      </c>
      <c r="J31" t="s">
        <v>200</v>
      </c>
    </row>
    <row r="32" spans="1:10">
      <c r="A32" t="s">
        <v>201</v>
      </c>
      <c r="B32" t="s">
        <v>202</v>
      </c>
      <c r="C32" t="s">
        <v>203</v>
      </c>
      <c r="D32" t="s">
        <v>204</v>
      </c>
      <c r="E32" t="s">
        <v>100</v>
      </c>
      <c r="F32" t="s">
        <v>127</v>
      </c>
      <c r="G32" t="s">
        <v>205</v>
      </c>
      <c r="H32" t="s">
        <v>206</v>
      </c>
      <c r="I32" t="s">
        <v>18</v>
      </c>
      <c r="J32" t="s">
        <v>55</v>
      </c>
    </row>
    <row r="33" spans="1:10">
      <c r="A33" t="s">
        <v>207</v>
      </c>
      <c r="B33" t="s">
        <v>208</v>
      </c>
      <c r="C33" t="s">
        <v>209</v>
      </c>
      <c r="D33" t="s">
        <v>210</v>
      </c>
      <c r="E33" t="s">
        <v>211</v>
      </c>
      <c r="F33" t="s">
        <v>35</v>
      </c>
      <c r="G33" t="s">
        <v>212</v>
      </c>
      <c r="I33" t="s">
        <v>72</v>
      </c>
      <c r="J33" t="s">
        <v>55</v>
      </c>
    </row>
    <row r="34" spans="1:10">
      <c r="A34" t="s">
        <v>213</v>
      </c>
      <c r="B34" t="s">
        <v>214</v>
      </c>
      <c r="C34" t="s">
        <v>215</v>
      </c>
      <c r="D34" t="s">
        <v>216</v>
      </c>
      <c r="E34" t="s">
        <v>34</v>
      </c>
      <c r="F34" t="s">
        <v>44</v>
      </c>
      <c r="G34" t="s">
        <v>217</v>
      </c>
      <c r="I34" t="s">
        <v>120</v>
      </c>
      <c r="J34" t="s">
        <v>38</v>
      </c>
    </row>
    <row r="35" spans="1:10">
      <c r="A35" t="s">
        <v>218</v>
      </c>
      <c r="B35" t="s">
        <v>219</v>
      </c>
      <c r="C35" t="s">
        <v>220</v>
      </c>
      <c r="D35" t="s">
        <v>221</v>
      </c>
      <c r="E35" t="s">
        <v>43</v>
      </c>
      <c r="F35" t="s">
        <v>127</v>
      </c>
      <c r="G35" t="s">
        <v>222</v>
      </c>
      <c r="I35" t="s">
        <v>120</v>
      </c>
      <c r="J35" t="s">
        <v>80</v>
      </c>
    </row>
    <row r="36" spans="1:10">
      <c r="A36" t="s">
        <v>223</v>
      </c>
      <c r="B36" t="s">
        <v>224</v>
      </c>
      <c r="C36" t="s">
        <v>225</v>
      </c>
      <c r="D36" t="s">
        <v>226</v>
      </c>
      <c r="E36" t="s">
        <v>112</v>
      </c>
      <c r="F36" t="s">
        <v>35</v>
      </c>
      <c r="G36" t="s">
        <v>227</v>
      </c>
      <c r="I36" t="s">
        <v>135</v>
      </c>
      <c r="J36" t="s">
        <v>228</v>
      </c>
    </row>
    <row r="37" spans="1:10">
      <c r="A37" t="s">
        <v>229</v>
      </c>
      <c r="B37" t="s">
        <v>230</v>
      </c>
      <c r="C37" t="s">
        <v>231</v>
      </c>
      <c r="D37" t="s">
        <v>232</v>
      </c>
      <c r="E37" t="s">
        <v>24</v>
      </c>
      <c r="F37" t="s">
        <v>44</v>
      </c>
      <c r="G37" t="s">
        <v>233</v>
      </c>
      <c r="I37" t="s">
        <v>72</v>
      </c>
      <c r="J37" t="s">
        <v>38</v>
      </c>
    </row>
    <row r="38" spans="1:10">
      <c r="A38" t="s">
        <v>234</v>
      </c>
      <c r="B38" t="s">
        <v>235</v>
      </c>
      <c r="C38" t="s">
        <v>236</v>
      </c>
      <c r="D38" t="s">
        <v>237</v>
      </c>
      <c r="E38" t="s">
        <v>238</v>
      </c>
      <c r="F38" t="s">
        <v>35</v>
      </c>
      <c r="G38" t="s">
        <v>239</v>
      </c>
      <c r="I38" t="s">
        <v>94</v>
      </c>
      <c r="J38" t="s">
        <v>200</v>
      </c>
    </row>
    <row r="39" spans="1:10">
      <c r="A39" t="s">
        <v>240</v>
      </c>
      <c r="B39" t="s">
        <v>241</v>
      </c>
      <c r="C39" t="s">
        <v>242</v>
      </c>
      <c r="D39" t="s">
        <v>243</v>
      </c>
      <c r="E39" t="s">
        <v>126</v>
      </c>
      <c r="F39" t="s">
        <v>16</v>
      </c>
      <c r="G39" t="s">
        <v>244</v>
      </c>
      <c r="H39" t="s">
        <v>245</v>
      </c>
      <c r="I39" t="s">
        <v>37</v>
      </c>
      <c r="J39" t="s">
        <v>129</v>
      </c>
    </row>
    <row r="40" spans="1:10">
      <c r="A40" t="s">
        <v>246</v>
      </c>
      <c r="B40" t="s">
        <v>247</v>
      </c>
      <c r="C40" t="s">
        <v>248</v>
      </c>
      <c r="D40" t="s">
        <v>249</v>
      </c>
      <c r="E40" t="s">
        <v>238</v>
      </c>
      <c r="F40" t="s">
        <v>101</v>
      </c>
      <c r="G40" t="s">
        <v>250</v>
      </c>
      <c r="H40" t="s">
        <v>251</v>
      </c>
      <c r="I40" t="s">
        <v>63</v>
      </c>
      <c r="J40" t="s">
        <v>172</v>
      </c>
    </row>
    <row r="41" spans="1:10">
      <c r="A41" t="s">
        <v>252</v>
      </c>
      <c r="B41" t="s">
        <v>253</v>
      </c>
      <c r="C41" t="s">
        <v>254</v>
      </c>
      <c r="D41" t="s">
        <v>255</v>
      </c>
      <c r="E41" t="s">
        <v>43</v>
      </c>
      <c r="F41" t="s">
        <v>92</v>
      </c>
      <c r="G41" t="s">
        <v>256</v>
      </c>
      <c r="I41" t="s">
        <v>28</v>
      </c>
      <c r="J41" t="s">
        <v>154</v>
      </c>
    </row>
    <row r="42" spans="1:10">
      <c r="A42" t="s">
        <v>257</v>
      </c>
      <c r="B42" t="s">
        <v>189</v>
      </c>
      <c r="C42" t="s">
        <v>258</v>
      </c>
      <c r="D42" t="s">
        <v>259</v>
      </c>
      <c r="E42" t="s">
        <v>112</v>
      </c>
      <c r="F42" t="s">
        <v>61</v>
      </c>
      <c r="G42" t="s">
        <v>260</v>
      </c>
      <c r="I42" t="s">
        <v>37</v>
      </c>
      <c r="J42" t="s">
        <v>55</v>
      </c>
    </row>
    <row r="43" spans="1:10">
      <c r="A43" t="s">
        <v>261</v>
      </c>
      <c r="B43" t="s">
        <v>262</v>
      </c>
      <c r="C43" t="s">
        <v>139</v>
      </c>
      <c r="D43" t="s">
        <v>140</v>
      </c>
      <c r="E43" t="s">
        <v>112</v>
      </c>
      <c r="F43" t="s">
        <v>92</v>
      </c>
      <c r="G43" t="s">
        <v>263</v>
      </c>
      <c r="H43" t="s">
        <v>264</v>
      </c>
      <c r="I43" t="s">
        <v>94</v>
      </c>
      <c r="J43" t="s">
        <v>95</v>
      </c>
    </row>
    <row r="44" spans="1:10">
      <c r="A44" t="s">
        <v>265</v>
      </c>
      <c r="B44" t="s">
        <v>266</v>
      </c>
      <c r="C44" t="s">
        <v>267</v>
      </c>
      <c r="D44" t="s">
        <v>268</v>
      </c>
      <c r="E44" t="s">
        <v>24</v>
      </c>
      <c r="F44" t="s">
        <v>92</v>
      </c>
      <c r="G44" t="s">
        <v>269</v>
      </c>
      <c r="H44" t="s">
        <v>269</v>
      </c>
      <c r="I44" t="s">
        <v>94</v>
      </c>
      <c r="J44" t="s">
        <v>55</v>
      </c>
    </row>
    <row r="45" spans="1:10">
      <c r="A45" t="s">
        <v>270</v>
      </c>
      <c r="B45" t="s">
        <v>271</v>
      </c>
      <c r="C45" t="s">
        <v>272</v>
      </c>
      <c r="D45" t="s">
        <v>273</v>
      </c>
      <c r="E45" t="s">
        <v>34</v>
      </c>
      <c r="F45" t="s">
        <v>35</v>
      </c>
      <c r="G45" t="s">
        <v>274</v>
      </c>
      <c r="I45" t="s">
        <v>72</v>
      </c>
      <c r="J45" t="s">
        <v>95</v>
      </c>
    </row>
    <row r="46" spans="1:10">
      <c r="A46" t="s">
        <v>275</v>
      </c>
      <c r="B46" t="s">
        <v>276</v>
      </c>
      <c r="C46" t="s">
        <v>277</v>
      </c>
      <c r="D46" t="s">
        <v>278</v>
      </c>
      <c r="E46" t="s">
        <v>100</v>
      </c>
      <c r="F46" t="s">
        <v>101</v>
      </c>
      <c r="G46" t="s">
        <v>279</v>
      </c>
      <c r="I46" t="s">
        <v>94</v>
      </c>
      <c r="J46" t="s">
        <v>172</v>
      </c>
    </row>
    <row r="47" spans="1:10">
      <c r="A47" t="s">
        <v>280</v>
      </c>
      <c r="B47" t="s">
        <v>281</v>
      </c>
      <c r="C47" t="s">
        <v>282</v>
      </c>
      <c r="D47" t="s">
        <v>283</v>
      </c>
      <c r="E47" t="s">
        <v>198</v>
      </c>
      <c r="F47" t="s">
        <v>127</v>
      </c>
      <c r="G47" t="s">
        <v>284</v>
      </c>
      <c r="I47" t="s">
        <v>28</v>
      </c>
      <c r="J47" t="s">
        <v>285</v>
      </c>
    </row>
    <row r="48" spans="1:10">
      <c r="A48" t="s">
        <v>286</v>
      </c>
      <c r="B48" t="s">
        <v>287</v>
      </c>
      <c r="C48" t="s">
        <v>288</v>
      </c>
      <c r="D48" t="s">
        <v>289</v>
      </c>
      <c r="E48" t="s">
        <v>198</v>
      </c>
      <c r="F48" t="s">
        <v>35</v>
      </c>
      <c r="G48" t="s">
        <v>290</v>
      </c>
      <c r="H48" t="s">
        <v>291</v>
      </c>
      <c r="I48" t="s">
        <v>171</v>
      </c>
      <c r="J48" t="s">
        <v>129</v>
      </c>
    </row>
    <row r="49" spans="1:10">
      <c r="A49" t="s">
        <v>292</v>
      </c>
      <c r="B49" t="s">
        <v>293</v>
      </c>
      <c r="C49" t="s">
        <v>294</v>
      </c>
      <c r="D49" t="s">
        <v>295</v>
      </c>
      <c r="E49" t="s">
        <v>34</v>
      </c>
      <c r="F49" t="s">
        <v>61</v>
      </c>
      <c r="G49" t="s">
        <v>296</v>
      </c>
      <c r="H49" t="s">
        <v>297</v>
      </c>
      <c r="I49" t="s">
        <v>72</v>
      </c>
      <c r="J49" t="s">
        <v>29</v>
      </c>
    </row>
    <row r="50" spans="1:10">
      <c r="A50" t="s">
        <v>298</v>
      </c>
      <c r="B50" t="s">
        <v>299</v>
      </c>
      <c r="C50" t="s">
        <v>300</v>
      </c>
      <c r="D50" t="s">
        <v>301</v>
      </c>
      <c r="E50" t="s">
        <v>100</v>
      </c>
      <c r="F50" t="s">
        <v>127</v>
      </c>
      <c r="G50" t="s">
        <v>302</v>
      </c>
      <c r="I50" t="s">
        <v>28</v>
      </c>
      <c r="J50" t="s">
        <v>303</v>
      </c>
    </row>
    <row r="51" spans="1:10">
      <c r="A51" t="s">
        <v>304</v>
      </c>
      <c r="B51" t="s">
        <v>305</v>
      </c>
      <c r="C51" t="s">
        <v>306</v>
      </c>
      <c r="D51" t="s">
        <v>307</v>
      </c>
      <c r="E51" t="s">
        <v>85</v>
      </c>
      <c r="F51" t="s">
        <v>25</v>
      </c>
      <c r="G51" t="s">
        <v>308</v>
      </c>
      <c r="I51" t="s">
        <v>171</v>
      </c>
      <c r="J51" t="s">
        <v>64</v>
      </c>
    </row>
    <row r="52" spans="1:10">
      <c r="A52" t="s">
        <v>309</v>
      </c>
      <c r="B52" t="s">
        <v>310</v>
      </c>
      <c r="C52" t="s">
        <v>311</v>
      </c>
      <c r="D52" t="s">
        <v>312</v>
      </c>
      <c r="E52" t="s">
        <v>198</v>
      </c>
      <c r="F52" t="s">
        <v>35</v>
      </c>
      <c r="G52" t="s">
        <v>313</v>
      </c>
      <c r="H52" t="s">
        <v>314</v>
      </c>
      <c r="I52" t="s">
        <v>120</v>
      </c>
      <c r="J52" t="s">
        <v>172</v>
      </c>
    </row>
    <row r="53" spans="1:10">
      <c r="A53" t="s">
        <v>315</v>
      </c>
      <c r="B53" t="s">
        <v>168</v>
      </c>
      <c r="C53" t="s">
        <v>316</v>
      </c>
      <c r="D53" t="s">
        <v>317</v>
      </c>
      <c r="E53" t="s">
        <v>141</v>
      </c>
      <c r="F53" t="s">
        <v>127</v>
      </c>
      <c r="G53" t="s">
        <v>318</v>
      </c>
      <c r="H53" t="s">
        <v>319</v>
      </c>
      <c r="I53" t="s">
        <v>18</v>
      </c>
      <c r="J53" t="s">
        <v>320</v>
      </c>
    </row>
    <row r="54" spans="1:10">
      <c r="A54" t="s">
        <v>321</v>
      </c>
      <c r="B54" t="s">
        <v>322</v>
      </c>
      <c r="C54" t="s">
        <v>323</v>
      </c>
      <c r="D54" t="s">
        <v>324</v>
      </c>
      <c r="E54" t="s">
        <v>100</v>
      </c>
      <c r="F54" t="s">
        <v>70</v>
      </c>
      <c r="G54" t="s">
        <v>325</v>
      </c>
      <c r="I54" t="s">
        <v>47</v>
      </c>
      <c r="J54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workbookViewId="0">
      <pane ySplit="4" topLeftCell="A37" activePane="bottomLeft" state="frozen"/>
      <selection pane="bottomLeft" activeCell="A56" sqref="A56"/>
    </sheetView>
  </sheetViews>
  <sheetFormatPr defaultRowHeight="15"/>
  <cols>
    <col min="1" max="1" width="16" customWidth="1"/>
    <col min="2" max="2" width="14" customWidth="1"/>
    <col min="3" max="3" width="19" customWidth="1"/>
    <col min="4" max="4" width="31" customWidth="1"/>
    <col min="5" max="5" width="21" customWidth="1"/>
    <col min="6" max="6" width="16" customWidth="1"/>
    <col min="7" max="7" width="14" customWidth="1"/>
    <col min="8" max="9" width="16" customWidth="1"/>
    <col min="10" max="10" width="20" customWidth="1"/>
  </cols>
  <sheetData>
    <row r="1" spans="1:10" ht="21">
      <c r="A1" s="2" t="s">
        <v>326</v>
      </c>
    </row>
    <row r="2" spans="1:10">
      <c r="A2" s="3"/>
    </row>
    <row r="4" spans="1:10" ht="26.1" customHeight="1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4" t="s">
        <v>6</v>
      </c>
      <c r="G4" s="6" t="s">
        <v>7</v>
      </c>
      <c r="H4" s="6" t="s">
        <v>8</v>
      </c>
      <c r="I4" s="4" t="s">
        <v>9</v>
      </c>
      <c r="J4" s="5" t="s">
        <v>10</v>
      </c>
    </row>
    <row r="5" spans="1:10" ht="20.100000000000001" customHeight="1">
      <c r="A5" s="7" t="s">
        <v>11</v>
      </c>
      <c r="B5" s="7" t="s">
        <v>327</v>
      </c>
      <c r="C5" s="8" t="s">
        <v>328</v>
      </c>
      <c r="D5" s="8" t="s">
        <v>329</v>
      </c>
      <c r="E5" s="8" t="s">
        <v>330</v>
      </c>
      <c r="F5" s="9">
        <v>2</v>
      </c>
      <c r="G5" s="10">
        <v>93.66</v>
      </c>
      <c r="H5" s="10">
        <f t="shared" ref="H5:H36" si="0">F5*G5</f>
        <v>187.32</v>
      </c>
      <c r="I5" s="7" t="s">
        <v>331</v>
      </c>
      <c r="J5" s="8" t="s">
        <v>332</v>
      </c>
    </row>
    <row r="6" spans="1:10" ht="20.100000000000001" customHeight="1">
      <c r="A6" s="11" t="s">
        <v>20</v>
      </c>
      <c r="B6" s="11" t="s">
        <v>333</v>
      </c>
      <c r="C6" s="12" t="s">
        <v>334</v>
      </c>
      <c r="D6" s="12" t="s">
        <v>335</v>
      </c>
      <c r="E6" s="12" t="s">
        <v>336</v>
      </c>
      <c r="F6" s="13">
        <v>5</v>
      </c>
      <c r="G6" s="14">
        <v>19.739999999999998</v>
      </c>
      <c r="H6" s="14">
        <f t="shared" si="0"/>
        <v>98.699999999999989</v>
      </c>
      <c r="I6" s="11" t="s">
        <v>337</v>
      </c>
      <c r="J6" s="12" t="s">
        <v>338</v>
      </c>
    </row>
    <row r="7" spans="1:10" ht="20.100000000000001" customHeight="1">
      <c r="A7" s="7" t="s">
        <v>30</v>
      </c>
      <c r="B7" s="7" t="s">
        <v>339</v>
      </c>
      <c r="C7" s="8" t="s">
        <v>340</v>
      </c>
      <c r="D7" s="8" t="s">
        <v>341</v>
      </c>
      <c r="E7" s="8" t="s">
        <v>342</v>
      </c>
      <c r="F7" s="9">
        <v>3</v>
      </c>
      <c r="G7" s="10">
        <v>166.25</v>
      </c>
      <c r="H7" s="10">
        <f t="shared" si="0"/>
        <v>498.75</v>
      </c>
      <c r="I7" s="7" t="s">
        <v>331</v>
      </c>
      <c r="J7" s="8" t="s">
        <v>343</v>
      </c>
    </row>
    <row r="8" spans="1:10" ht="20.100000000000001" customHeight="1">
      <c r="A8" s="11" t="s">
        <v>39</v>
      </c>
      <c r="B8" s="11" t="s">
        <v>344</v>
      </c>
      <c r="C8" s="12" t="s">
        <v>345</v>
      </c>
      <c r="D8" s="12" t="s">
        <v>346</v>
      </c>
      <c r="E8" s="12" t="s">
        <v>347</v>
      </c>
      <c r="F8" s="13">
        <v>2</v>
      </c>
      <c r="G8" s="14">
        <v>961.72</v>
      </c>
      <c r="H8" s="14">
        <f t="shared" si="0"/>
        <v>1923.44</v>
      </c>
      <c r="I8" s="11" t="s">
        <v>337</v>
      </c>
      <c r="J8" s="12" t="s">
        <v>338</v>
      </c>
    </row>
    <row r="9" spans="1:10" ht="20.100000000000001" customHeight="1">
      <c r="A9" s="7" t="s">
        <v>48</v>
      </c>
      <c r="B9" s="7" t="s">
        <v>348</v>
      </c>
      <c r="C9" s="8" t="s">
        <v>349</v>
      </c>
      <c r="D9" s="8" t="s">
        <v>350</v>
      </c>
      <c r="E9" s="8" t="s">
        <v>347</v>
      </c>
      <c r="F9" s="9">
        <v>5</v>
      </c>
      <c r="G9" s="10">
        <v>816.73</v>
      </c>
      <c r="H9" s="10">
        <f t="shared" si="0"/>
        <v>4083.65</v>
      </c>
      <c r="I9" s="7" t="s">
        <v>331</v>
      </c>
      <c r="J9" s="8" t="s">
        <v>351</v>
      </c>
    </row>
    <row r="10" spans="1:10" ht="20.100000000000001" customHeight="1">
      <c r="A10" s="11" t="s">
        <v>56</v>
      </c>
      <c r="B10" s="11" t="s">
        <v>352</v>
      </c>
      <c r="C10" s="12" t="s">
        <v>353</v>
      </c>
      <c r="D10" s="12" t="s">
        <v>354</v>
      </c>
      <c r="E10" s="12" t="s">
        <v>355</v>
      </c>
      <c r="F10" s="13">
        <v>5</v>
      </c>
      <c r="G10" s="14">
        <v>71.959999999999994</v>
      </c>
      <c r="H10" s="14">
        <f t="shared" si="0"/>
        <v>359.79999999999995</v>
      </c>
      <c r="I10" s="11" t="s">
        <v>356</v>
      </c>
      <c r="J10" s="12" t="s">
        <v>357</v>
      </c>
    </row>
    <row r="11" spans="1:10" ht="20.100000000000001" customHeight="1">
      <c r="A11" s="7" t="s">
        <v>65</v>
      </c>
      <c r="B11" s="7" t="s">
        <v>358</v>
      </c>
      <c r="C11" s="8" t="s">
        <v>359</v>
      </c>
      <c r="D11" s="8" t="s">
        <v>360</v>
      </c>
      <c r="E11" s="8" t="s">
        <v>342</v>
      </c>
      <c r="F11" s="9">
        <v>4</v>
      </c>
      <c r="G11" s="10">
        <v>88.35</v>
      </c>
      <c r="H11" s="10">
        <f t="shared" si="0"/>
        <v>353.4</v>
      </c>
      <c r="I11" s="7" t="s">
        <v>337</v>
      </c>
      <c r="J11" s="8" t="s">
        <v>361</v>
      </c>
    </row>
    <row r="12" spans="1:10" ht="20.100000000000001" customHeight="1">
      <c r="A12" s="11" t="s">
        <v>74</v>
      </c>
      <c r="B12" s="11" t="s">
        <v>362</v>
      </c>
      <c r="C12" s="12" t="s">
        <v>363</v>
      </c>
      <c r="D12" s="12" t="s">
        <v>364</v>
      </c>
      <c r="E12" s="12" t="s">
        <v>342</v>
      </c>
      <c r="F12" s="13">
        <v>3</v>
      </c>
      <c r="G12" s="14">
        <v>194.94</v>
      </c>
      <c r="H12" s="14">
        <f t="shared" si="0"/>
        <v>584.81999999999994</v>
      </c>
      <c r="I12" s="11" t="s">
        <v>337</v>
      </c>
      <c r="J12" s="12" t="s">
        <v>351</v>
      </c>
    </row>
    <row r="13" spans="1:10" ht="20.100000000000001" customHeight="1">
      <c r="A13" s="7" t="s">
        <v>365</v>
      </c>
      <c r="B13" s="7" t="s">
        <v>366</v>
      </c>
      <c r="C13" s="8" t="s">
        <v>367</v>
      </c>
      <c r="D13" s="8" t="s">
        <v>368</v>
      </c>
      <c r="E13" s="8" t="s">
        <v>347</v>
      </c>
      <c r="F13" s="9">
        <v>3</v>
      </c>
      <c r="G13" s="10">
        <v>1033.75</v>
      </c>
      <c r="H13" s="10">
        <f t="shared" si="0"/>
        <v>3101.25</v>
      </c>
      <c r="I13" s="7" t="s">
        <v>331</v>
      </c>
      <c r="J13" s="8" t="s">
        <v>361</v>
      </c>
    </row>
    <row r="14" spans="1:10" ht="20.100000000000001" customHeight="1">
      <c r="A14" s="11" t="s">
        <v>369</v>
      </c>
      <c r="B14" s="11" t="s">
        <v>370</v>
      </c>
      <c r="C14" s="12" t="s">
        <v>371</v>
      </c>
      <c r="D14" s="12" t="s">
        <v>372</v>
      </c>
      <c r="E14" s="12" t="s">
        <v>342</v>
      </c>
      <c r="F14" s="13">
        <v>1</v>
      </c>
      <c r="G14" s="14">
        <v>39.99</v>
      </c>
      <c r="H14" s="14">
        <f t="shared" si="0"/>
        <v>39.99</v>
      </c>
      <c r="I14" s="11" t="s">
        <v>356</v>
      </c>
      <c r="J14" s="12" t="s">
        <v>338</v>
      </c>
    </row>
    <row r="15" spans="1:10" ht="20.100000000000001" customHeight="1">
      <c r="A15" s="7" t="s">
        <v>96</v>
      </c>
      <c r="B15" s="7" t="s">
        <v>373</v>
      </c>
      <c r="C15" s="8" t="s">
        <v>374</v>
      </c>
      <c r="D15" s="8" t="s">
        <v>375</v>
      </c>
      <c r="E15" s="8" t="s">
        <v>355</v>
      </c>
      <c r="F15" s="9">
        <v>3</v>
      </c>
      <c r="G15" s="10">
        <v>40.93</v>
      </c>
      <c r="H15" s="10">
        <f t="shared" si="0"/>
        <v>122.78999999999999</v>
      </c>
      <c r="I15" s="7" t="s">
        <v>331</v>
      </c>
      <c r="J15" s="8" t="s">
        <v>351</v>
      </c>
    </row>
    <row r="16" spans="1:10" ht="20.100000000000001" customHeight="1">
      <c r="A16" s="11" t="s">
        <v>103</v>
      </c>
      <c r="B16" s="11" t="s">
        <v>376</v>
      </c>
      <c r="C16" s="12" t="s">
        <v>377</v>
      </c>
      <c r="D16" s="12" t="s">
        <v>378</v>
      </c>
      <c r="E16" s="12" t="s">
        <v>347</v>
      </c>
      <c r="F16" s="13">
        <v>2</v>
      </c>
      <c r="G16" s="14">
        <v>220.77</v>
      </c>
      <c r="H16" s="14">
        <f t="shared" si="0"/>
        <v>441.54</v>
      </c>
      <c r="I16" s="11" t="s">
        <v>337</v>
      </c>
      <c r="J16" s="12" t="s">
        <v>338</v>
      </c>
    </row>
    <row r="17" spans="1:10" ht="20.100000000000001" customHeight="1">
      <c r="A17" s="7" t="s">
        <v>108</v>
      </c>
      <c r="B17" s="7" t="s">
        <v>379</v>
      </c>
      <c r="C17" s="8" t="s">
        <v>380</v>
      </c>
      <c r="D17" s="8" t="s">
        <v>381</v>
      </c>
      <c r="E17" s="8" t="s">
        <v>355</v>
      </c>
      <c r="F17" s="9">
        <v>1</v>
      </c>
      <c r="G17" s="10">
        <v>21.3</v>
      </c>
      <c r="H17" s="10">
        <f t="shared" si="0"/>
        <v>21.3</v>
      </c>
      <c r="I17" s="7" t="s">
        <v>356</v>
      </c>
      <c r="J17" s="8" t="s">
        <v>285</v>
      </c>
    </row>
    <row r="18" spans="1:10" ht="20.100000000000001" customHeight="1">
      <c r="A18" s="11" t="s">
        <v>115</v>
      </c>
      <c r="B18" s="11" t="s">
        <v>382</v>
      </c>
      <c r="C18" s="12" t="s">
        <v>383</v>
      </c>
      <c r="D18" s="12" t="s">
        <v>384</v>
      </c>
      <c r="E18" s="12" t="s">
        <v>355</v>
      </c>
      <c r="F18" s="13">
        <v>5</v>
      </c>
      <c r="G18" s="14">
        <v>44.16</v>
      </c>
      <c r="H18" s="14">
        <f t="shared" si="0"/>
        <v>220.79999999999998</v>
      </c>
      <c r="I18" s="11" t="s">
        <v>356</v>
      </c>
      <c r="J18" s="12" t="s">
        <v>357</v>
      </c>
    </row>
    <row r="19" spans="1:10" ht="20.100000000000001" customHeight="1">
      <c r="A19" s="7" t="s">
        <v>385</v>
      </c>
      <c r="B19" s="7" t="s">
        <v>386</v>
      </c>
      <c r="C19" s="8" t="s">
        <v>387</v>
      </c>
      <c r="D19" s="8" t="s">
        <v>388</v>
      </c>
      <c r="E19" s="8" t="s">
        <v>336</v>
      </c>
      <c r="F19" s="9">
        <v>4</v>
      </c>
      <c r="G19" s="10">
        <v>17.48</v>
      </c>
      <c r="H19" s="10">
        <f t="shared" si="0"/>
        <v>69.92</v>
      </c>
      <c r="I19" s="7" t="s">
        <v>356</v>
      </c>
      <c r="J19" s="8" t="s">
        <v>332</v>
      </c>
    </row>
    <row r="20" spans="1:10" ht="20.100000000000001" customHeight="1">
      <c r="A20" s="11" t="s">
        <v>130</v>
      </c>
      <c r="B20" s="11" t="s">
        <v>389</v>
      </c>
      <c r="C20" s="12" t="s">
        <v>390</v>
      </c>
      <c r="D20" s="12" t="s">
        <v>391</v>
      </c>
      <c r="E20" s="12" t="s">
        <v>355</v>
      </c>
      <c r="F20" s="13">
        <v>1</v>
      </c>
      <c r="G20" s="14">
        <v>52.65</v>
      </c>
      <c r="H20" s="14">
        <f t="shared" si="0"/>
        <v>52.65</v>
      </c>
      <c r="I20" s="11" t="s">
        <v>331</v>
      </c>
      <c r="J20" s="12" t="s">
        <v>332</v>
      </c>
    </row>
    <row r="21" spans="1:10" ht="20.100000000000001" customHeight="1">
      <c r="A21" s="7" t="s">
        <v>137</v>
      </c>
      <c r="B21" s="7" t="s">
        <v>392</v>
      </c>
      <c r="C21" s="8" t="s">
        <v>393</v>
      </c>
      <c r="D21" s="8" t="s">
        <v>394</v>
      </c>
      <c r="E21" s="8" t="s">
        <v>347</v>
      </c>
      <c r="F21" s="9">
        <v>2</v>
      </c>
      <c r="G21" s="10">
        <v>573.96</v>
      </c>
      <c r="H21" s="10">
        <f t="shared" si="0"/>
        <v>1147.92</v>
      </c>
      <c r="I21" s="7" t="s">
        <v>331</v>
      </c>
      <c r="J21" s="8" t="s">
        <v>357</v>
      </c>
    </row>
    <row r="22" spans="1:10" ht="20.100000000000001" customHeight="1">
      <c r="A22" s="11" t="s">
        <v>143</v>
      </c>
      <c r="B22" s="11" t="s">
        <v>395</v>
      </c>
      <c r="C22" s="12" t="s">
        <v>396</v>
      </c>
      <c r="D22" s="12" t="s">
        <v>397</v>
      </c>
      <c r="E22" s="12" t="s">
        <v>330</v>
      </c>
      <c r="F22" s="13">
        <v>4</v>
      </c>
      <c r="G22" s="14">
        <v>124.34</v>
      </c>
      <c r="H22" s="14">
        <f t="shared" si="0"/>
        <v>497.36</v>
      </c>
      <c r="I22" s="11" t="s">
        <v>337</v>
      </c>
      <c r="J22" s="12" t="s">
        <v>332</v>
      </c>
    </row>
    <row r="23" spans="1:10" ht="20.100000000000001" customHeight="1">
      <c r="A23" s="7" t="s">
        <v>148</v>
      </c>
      <c r="B23" s="7" t="s">
        <v>398</v>
      </c>
      <c r="C23" s="8" t="s">
        <v>399</v>
      </c>
      <c r="D23" s="8" t="s">
        <v>400</v>
      </c>
      <c r="E23" s="8" t="s">
        <v>336</v>
      </c>
      <c r="F23" s="9">
        <v>5</v>
      </c>
      <c r="G23" s="10">
        <v>34.619999999999997</v>
      </c>
      <c r="H23" s="10">
        <f t="shared" si="0"/>
        <v>173.1</v>
      </c>
      <c r="I23" s="7" t="s">
        <v>331</v>
      </c>
      <c r="J23" s="8" t="s">
        <v>338</v>
      </c>
    </row>
    <row r="24" spans="1:10" ht="20.100000000000001" customHeight="1">
      <c r="A24" s="11" t="s">
        <v>155</v>
      </c>
      <c r="B24" s="11" t="s">
        <v>401</v>
      </c>
      <c r="C24" s="12" t="s">
        <v>402</v>
      </c>
      <c r="D24" s="12" t="s">
        <v>403</v>
      </c>
      <c r="E24" s="12" t="s">
        <v>330</v>
      </c>
      <c r="F24" s="13">
        <v>5</v>
      </c>
      <c r="G24" s="14">
        <v>89.51</v>
      </c>
      <c r="H24" s="14">
        <f t="shared" si="0"/>
        <v>447.55</v>
      </c>
      <c r="I24" s="11" t="s">
        <v>356</v>
      </c>
      <c r="J24" s="12" t="s">
        <v>357</v>
      </c>
    </row>
    <row r="25" spans="1:10" ht="20.100000000000001" customHeight="1">
      <c r="A25" s="7" t="s">
        <v>160</v>
      </c>
      <c r="B25" s="7" t="s">
        <v>404</v>
      </c>
      <c r="C25" s="8" t="s">
        <v>405</v>
      </c>
      <c r="D25" s="8" t="s">
        <v>406</v>
      </c>
      <c r="E25" s="8" t="s">
        <v>330</v>
      </c>
      <c r="F25" s="9">
        <v>2</v>
      </c>
      <c r="G25" s="10">
        <v>264.61</v>
      </c>
      <c r="H25" s="10">
        <f t="shared" si="0"/>
        <v>529.22</v>
      </c>
      <c r="I25" s="7" t="s">
        <v>331</v>
      </c>
      <c r="J25" s="8" t="s">
        <v>351</v>
      </c>
    </row>
    <row r="26" spans="1:10" ht="20.100000000000001" customHeight="1">
      <c r="A26" s="11" t="s">
        <v>167</v>
      </c>
      <c r="B26" s="11" t="s">
        <v>401</v>
      </c>
      <c r="C26" s="12" t="s">
        <v>387</v>
      </c>
      <c r="D26" s="12" t="s">
        <v>388</v>
      </c>
      <c r="E26" s="12" t="s">
        <v>355</v>
      </c>
      <c r="F26" s="13">
        <v>1</v>
      </c>
      <c r="G26" s="14">
        <v>35.04</v>
      </c>
      <c r="H26" s="14">
        <f t="shared" si="0"/>
        <v>35.04</v>
      </c>
      <c r="I26" s="11" t="s">
        <v>337</v>
      </c>
      <c r="J26" s="12" t="s">
        <v>285</v>
      </c>
    </row>
    <row r="27" spans="1:10" ht="20.100000000000001" customHeight="1">
      <c r="A27" s="7" t="s">
        <v>173</v>
      </c>
      <c r="B27" s="7" t="s">
        <v>407</v>
      </c>
      <c r="C27" s="8" t="s">
        <v>408</v>
      </c>
      <c r="D27" s="8" t="s">
        <v>409</v>
      </c>
      <c r="E27" s="8" t="s">
        <v>355</v>
      </c>
      <c r="F27" s="9">
        <v>4</v>
      </c>
      <c r="G27" s="10">
        <v>16.61</v>
      </c>
      <c r="H27" s="10">
        <f t="shared" si="0"/>
        <v>66.44</v>
      </c>
      <c r="I27" s="7" t="s">
        <v>331</v>
      </c>
      <c r="J27" s="8" t="s">
        <v>285</v>
      </c>
    </row>
    <row r="28" spans="1:10" ht="20.100000000000001" customHeight="1">
      <c r="A28" s="11" t="s">
        <v>410</v>
      </c>
      <c r="B28" s="11" t="s">
        <v>376</v>
      </c>
      <c r="C28" s="12" t="s">
        <v>411</v>
      </c>
      <c r="D28" s="12" t="s">
        <v>412</v>
      </c>
      <c r="E28" s="12" t="s">
        <v>336</v>
      </c>
      <c r="F28" s="13">
        <v>3</v>
      </c>
      <c r="G28" s="14">
        <v>20.68</v>
      </c>
      <c r="H28" s="14">
        <f t="shared" si="0"/>
        <v>62.04</v>
      </c>
      <c r="I28" s="11" t="s">
        <v>337</v>
      </c>
      <c r="J28" s="12" t="s">
        <v>357</v>
      </c>
    </row>
    <row r="29" spans="1:10" ht="20.100000000000001" customHeight="1">
      <c r="A29" s="7" t="s">
        <v>413</v>
      </c>
      <c r="B29" s="7" t="s">
        <v>414</v>
      </c>
      <c r="C29" s="8" t="s">
        <v>415</v>
      </c>
      <c r="D29" s="8" t="s">
        <v>416</v>
      </c>
      <c r="E29" s="8" t="s">
        <v>347</v>
      </c>
      <c r="F29" s="9">
        <v>3</v>
      </c>
      <c r="G29" s="10">
        <v>337.5</v>
      </c>
      <c r="H29" s="10">
        <f t="shared" si="0"/>
        <v>1012.5</v>
      </c>
      <c r="I29" s="7" t="s">
        <v>356</v>
      </c>
      <c r="J29" s="8" t="s">
        <v>332</v>
      </c>
    </row>
    <row r="30" spans="1:10" ht="20.100000000000001" customHeight="1">
      <c r="A30" s="11" t="s">
        <v>188</v>
      </c>
      <c r="B30" s="11" t="s">
        <v>417</v>
      </c>
      <c r="C30" s="12" t="s">
        <v>328</v>
      </c>
      <c r="D30" s="12" t="s">
        <v>329</v>
      </c>
      <c r="E30" s="12" t="s">
        <v>336</v>
      </c>
      <c r="F30" s="13">
        <v>1</v>
      </c>
      <c r="G30" s="14">
        <v>28.2</v>
      </c>
      <c r="H30" s="14">
        <f t="shared" si="0"/>
        <v>28.2</v>
      </c>
      <c r="I30" s="11" t="s">
        <v>331</v>
      </c>
      <c r="J30" s="12" t="s">
        <v>351</v>
      </c>
    </row>
    <row r="31" spans="1:10" ht="20.100000000000001" customHeight="1">
      <c r="A31" s="7" t="s">
        <v>418</v>
      </c>
      <c r="B31" s="7" t="s">
        <v>419</v>
      </c>
      <c r="C31" s="8" t="s">
        <v>420</v>
      </c>
      <c r="D31" s="8" t="s">
        <v>421</v>
      </c>
      <c r="E31" s="8" t="s">
        <v>336</v>
      </c>
      <c r="F31" s="9">
        <v>3</v>
      </c>
      <c r="G31" s="10">
        <v>24.08</v>
      </c>
      <c r="H31" s="10">
        <f t="shared" si="0"/>
        <v>72.239999999999995</v>
      </c>
      <c r="I31" s="7" t="s">
        <v>356</v>
      </c>
      <c r="J31" s="8" t="s">
        <v>361</v>
      </c>
    </row>
    <row r="32" spans="1:10" ht="20.100000000000001" customHeight="1">
      <c r="A32" s="11" t="s">
        <v>201</v>
      </c>
      <c r="B32" s="11" t="s">
        <v>422</v>
      </c>
      <c r="C32" s="12" t="s">
        <v>423</v>
      </c>
      <c r="D32" s="12" t="s">
        <v>424</v>
      </c>
      <c r="E32" s="12" t="s">
        <v>355</v>
      </c>
      <c r="F32" s="13">
        <v>4</v>
      </c>
      <c r="G32" s="14">
        <v>66.069999999999993</v>
      </c>
      <c r="H32" s="14">
        <f t="shared" si="0"/>
        <v>264.27999999999997</v>
      </c>
      <c r="I32" s="11" t="s">
        <v>331</v>
      </c>
      <c r="J32" s="12" t="s">
        <v>351</v>
      </c>
    </row>
    <row r="33" spans="1:10" ht="20.100000000000001" customHeight="1">
      <c r="A33" s="7" t="s">
        <v>207</v>
      </c>
      <c r="B33" s="7" t="s">
        <v>425</v>
      </c>
      <c r="C33" s="8" t="s">
        <v>426</v>
      </c>
      <c r="D33" s="8" t="s">
        <v>427</v>
      </c>
      <c r="E33" s="8" t="s">
        <v>342</v>
      </c>
      <c r="F33" s="9">
        <v>3</v>
      </c>
      <c r="G33" s="10">
        <v>41.34</v>
      </c>
      <c r="H33" s="10">
        <f t="shared" si="0"/>
        <v>124.02000000000001</v>
      </c>
      <c r="I33" s="7" t="s">
        <v>337</v>
      </c>
      <c r="J33" s="8" t="s">
        <v>351</v>
      </c>
    </row>
    <row r="34" spans="1:10" ht="20.100000000000001" customHeight="1">
      <c r="A34" s="11" t="s">
        <v>213</v>
      </c>
      <c r="B34" s="11" t="s">
        <v>428</v>
      </c>
      <c r="C34" s="12" t="s">
        <v>429</v>
      </c>
      <c r="D34" s="12" t="s">
        <v>430</v>
      </c>
      <c r="E34" s="12" t="s">
        <v>342</v>
      </c>
      <c r="F34" s="13">
        <v>2</v>
      </c>
      <c r="G34" s="14">
        <v>150.71</v>
      </c>
      <c r="H34" s="14">
        <f t="shared" si="0"/>
        <v>301.42</v>
      </c>
      <c r="I34" s="11" t="s">
        <v>356</v>
      </c>
      <c r="J34" s="12" t="s">
        <v>343</v>
      </c>
    </row>
    <row r="35" spans="1:10" ht="20.100000000000001" customHeight="1">
      <c r="A35" s="7" t="s">
        <v>218</v>
      </c>
      <c r="B35" s="7" t="s">
        <v>431</v>
      </c>
      <c r="C35" s="8" t="s">
        <v>432</v>
      </c>
      <c r="D35" s="8" t="s">
        <v>433</v>
      </c>
      <c r="E35" s="8" t="s">
        <v>347</v>
      </c>
      <c r="F35" s="9">
        <v>4</v>
      </c>
      <c r="G35" s="10">
        <v>290.01</v>
      </c>
      <c r="H35" s="10">
        <f t="shared" si="0"/>
        <v>1160.04</v>
      </c>
      <c r="I35" s="7" t="s">
        <v>356</v>
      </c>
      <c r="J35" s="8" t="s">
        <v>351</v>
      </c>
    </row>
    <row r="36" spans="1:10" ht="20.100000000000001" customHeight="1">
      <c r="A36" s="11" t="s">
        <v>223</v>
      </c>
      <c r="B36" s="11" t="s">
        <v>379</v>
      </c>
      <c r="C36" s="12" t="s">
        <v>434</v>
      </c>
      <c r="D36" s="12" t="s">
        <v>435</v>
      </c>
      <c r="E36" s="12" t="s">
        <v>355</v>
      </c>
      <c r="F36" s="13">
        <v>3</v>
      </c>
      <c r="G36" s="14">
        <v>64.78</v>
      </c>
      <c r="H36" s="14">
        <f t="shared" si="0"/>
        <v>194.34</v>
      </c>
      <c r="I36" s="11" t="s">
        <v>331</v>
      </c>
      <c r="J36" s="12" t="s">
        <v>343</v>
      </c>
    </row>
    <row r="37" spans="1:10" ht="20.100000000000001" customHeight="1">
      <c r="A37" s="7" t="s">
        <v>229</v>
      </c>
      <c r="B37" s="7" t="s">
        <v>436</v>
      </c>
      <c r="C37" s="8" t="s">
        <v>437</v>
      </c>
      <c r="D37" s="8" t="s">
        <v>438</v>
      </c>
      <c r="E37" s="8" t="s">
        <v>336</v>
      </c>
      <c r="F37" s="9">
        <v>2</v>
      </c>
      <c r="G37" s="10">
        <v>34.72</v>
      </c>
      <c r="H37" s="10">
        <f t="shared" ref="H37:H68" si="1">F37*G37</f>
        <v>69.44</v>
      </c>
      <c r="I37" s="7" t="s">
        <v>337</v>
      </c>
      <c r="J37" s="8" t="s">
        <v>343</v>
      </c>
    </row>
    <row r="38" spans="1:10" ht="20.100000000000001" customHeight="1">
      <c r="A38" s="11" t="s">
        <v>234</v>
      </c>
      <c r="B38" s="11" t="s">
        <v>362</v>
      </c>
      <c r="C38" s="12" t="s">
        <v>439</v>
      </c>
      <c r="D38" s="12" t="s">
        <v>440</v>
      </c>
      <c r="E38" s="12" t="s">
        <v>330</v>
      </c>
      <c r="F38" s="13">
        <v>3</v>
      </c>
      <c r="G38" s="14">
        <v>268.64999999999998</v>
      </c>
      <c r="H38" s="14">
        <f t="shared" si="1"/>
        <v>805.94999999999993</v>
      </c>
      <c r="I38" s="11" t="s">
        <v>356</v>
      </c>
      <c r="J38" s="12" t="s">
        <v>361</v>
      </c>
    </row>
    <row r="39" spans="1:10" ht="20.100000000000001" customHeight="1">
      <c r="A39" s="7" t="s">
        <v>240</v>
      </c>
      <c r="B39" s="7" t="s">
        <v>441</v>
      </c>
      <c r="C39" s="8" t="s">
        <v>442</v>
      </c>
      <c r="D39" s="8" t="s">
        <v>443</v>
      </c>
      <c r="E39" s="8" t="s">
        <v>336</v>
      </c>
      <c r="F39" s="9">
        <v>2</v>
      </c>
      <c r="G39" s="10">
        <v>44.33</v>
      </c>
      <c r="H39" s="10">
        <f t="shared" si="1"/>
        <v>88.66</v>
      </c>
      <c r="I39" s="7" t="s">
        <v>331</v>
      </c>
      <c r="J39" s="8" t="s">
        <v>332</v>
      </c>
    </row>
    <row r="40" spans="1:10" ht="20.100000000000001" customHeight="1">
      <c r="A40" s="11" t="s">
        <v>246</v>
      </c>
      <c r="B40" s="11" t="s">
        <v>444</v>
      </c>
      <c r="C40" s="12" t="s">
        <v>445</v>
      </c>
      <c r="D40" s="12" t="s">
        <v>446</v>
      </c>
      <c r="E40" s="12" t="s">
        <v>330</v>
      </c>
      <c r="F40" s="13">
        <v>3</v>
      </c>
      <c r="G40" s="14">
        <v>271.20999999999998</v>
      </c>
      <c r="H40" s="14">
        <f t="shared" si="1"/>
        <v>813.62999999999988</v>
      </c>
      <c r="I40" s="11" t="s">
        <v>356</v>
      </c>
      <c r="J40" s="12" t="s">
        <v>285</v>
      </c>
    </row>
    <row r="41" spans="1:10" ht="20.100000000000001" customHeight="1">
      <c r="A41" s="7" t="s">
        <v>447</v>
      </c>
      <c r="B41" s="7" t="s">
        <v>448</v>
      </c>
      <c r="C41" s="8" t="s">
        <v>449</v>
      </c>
      <c r="D41" s="8" t="s">
        <v>450</v>
      </c>
      <c r="E41" s="8" t="s">
        <v>347</v>
      </c>
      <c r="F41" s="9">
        <v>1</v>
      </c>
      <c r="G41" s="10">
        <v>1147.0899999999999</v>
      </c>
      <c r="H41" s="10">
        <f t="shared" si="1"/>
        <v>1147.0899999999999</v>
      </c>
      <c r="I41" s="7" t="s">
        <v>337</v>
      </c>
      <c r="J41" s="8" t="s">
        <v>338</v>
      </c>
    </row>
    <row r="42" spans="1:10" ht="20.100000000000001" customHeight="1">
      <c r="A42" s="11" t="s">
        <v>451</v>
      </c>
      <c r="B42" s="11" t="s">
        <v>417</v>
      </c>
      <c r="C42" s="12" t="s">
        <v>452</v>
      </c>
      <c r="D42" s="12" t="s">
        <v>453</v>
      </c>
      <c r="E42" s="12" t="s">
        <v>355</v>
      </c>
      <c r="F42" s="13">
        <v>5</v>
      </c>
      <c r="G42" s="14">
        <v>54.47</v>
      </c>
      <c r="H42" s="14">
        <f t="shared" si="1"/>
        <v>272.35000000000002</v>
      </c>
      <c r="I42" s="11" t="s">
        <v>331</v>
      </c>
      <c r="J42" s="12" t="s">
        <v>351</v>
      </c>
    </row>
    <row r="43" spans="1:10" ht="20.100000000000001" customHeight="1">
      <c r="A43" s="7" t="s">
        <v>261</v>
      </c>
      <c r="B43" s="7" t="s">
        <v>454</v>
      </c>
      <c r="C43" s="8" t="s">
        <v>393</v>
      </c>
      <c r="D43" s="8" t="s">
        <v>394</v>
      </c>
      <c r="E43" s="8" t="s">
        <v>355</v>
      </c>
      <c r="F43" s="9">
        <v>1</v>
      </c>
      <c r="G43" s="10">
        <v>60.32</v>
      </c>
      <c r="H43" s="10">
        <f t="shared" si="1"/>
        <v>60.32</v>
      </c>
      <c r="I43" s="7" t="s">
        <v>356</v>
      </c>
      <c r="J43" s="8" t="s">
        <v>338</v>
      </c>
    </row>
    <row r="44" spans="1:10" ht="20.100000000000001" customHeight="1">
      <c r="A44" s="11" t="s">
        <v>265</v>
      </c>
      <c r="B44" s="11" t="s">
        <v>455</v>
      </c>
      <c r="C44" s="12" t="s">
        <v>456</v>
      </c>
      <c r="D44" s="12" t="s">
        <v>457</v>
      </c>
      <c r="E44" s="12" t="s">
        <v>336</v>
      </c>
      <c r="F44" s="13">
        <v>1</v>
      </c>
      <c r="G44" s="14">
        <v>25.17</v>
      </c>
      <c r="H44" s="14">
        <f t="shared" si="1"/>
        <v>25.17</v>
      </c>
      <c r="I44" s="11" t="s">
        <v>356</v>
      </c>
      <c r="J44" s="12" t="s">
        <v>351</v>
      </c>
    </row>
    <row r="45" spans="1:10" ht="20.100000000000001" customHeight="1">
      <c r="A45" s="7" t="s">
        <v>270</v>
      </c>
      <c r="B45" s="7" t="s">
        <v>458</v>
      </c>
      <c r="C45" s="8" t="s">
        <v>459</v>
      </c>
      <c r="D45" s="8" t="s">
        <v>460</v>
      </c>
      <c r="E45" s="8" t="s">
        <v>342</v>
      </c>
      <c r="F45" s="9">
        <v>3</v>
      </c>
      <c r="G45" s="10">
        <v>81.400000000000006</v>
      </c>
      <c r="H45" s="10">
        <f t="shared" si="1"/>
        <v>244.20000000000002</v>
      </c>
      <c r="I45" s="7" t="s">
        <v>337</v>
      </c>
      <c r="J45" s="8" t="s">
        <v>338</v>
      </c>
    </row>
    <row r="46" spans="1:10" ht="20.100000000000001" customHeight="1">
      <c r="A46" s="11" t="s">
        <v>275</v>
      </c>
      <c r="B46" s="11" t="s">
        <v>444</v>
      </c>
      <c r="C46" s="12" t="s">
        <v>461</v>
      </c>
      <c r="D46" s="12" t="s">
        <v>462</v>
      </c>
      <c r="E46" s="12" t="s">
        <v>355</v>
      </c>
      <c r="F46" s="13">
        <v>3</v>
      </c>
      <c r="G46" s="14">
        <v>66.86</v>
      </c>
      <c r="H46" s="14">
        <f t="shared" si="1"/>
        <v>200.57999999999998</v>
      </c>
      <c r="I46" s="11" t="s">
        <v>356</v>
      </c>
      <c r="J46" s="12" t="s">
        <v>285</v>
      </c>
    </row>
    <row r="47" spans="1:10" ht="20.100000000000001" customHeight="1">
      <c r="A47" s="7" t="s">
        <v>280</v>
      </c>
      <c r="B47" s="7" t="s">
        <v>379</v>
      </c>
      <c r="C47" s="8" t="s">
        <v>463</v>
      </c>
      <c r="D47" s="8" t="s">
        <v>464</v>
      </c>
      <c r="E47" s="8" t="s">
        <v>336</v>
      </c>
      <c r="F47" s="9">
        <v>4</v>
      </c>
      <c r="G47" s="10">
        <v>37.75</v>
      </c>
      <c r="H47" s="10">
        <f t="shared" si="1"/>
        <v>151</v>
      </c>
      <c r="I47" s="7" t="s">
        <v>337</v>
      </c>
      <c r="J47" s="8" t="s">
        <v>285</v>
      </c>
    </row>
    <row r="48" spans="1:10" ht="20.100000000000001" customHeight="1">
      <c r="A48" s="11" t="s">
        <v>286</v>
      </c>
      <c r="B48" s="11" t="s">
        <v>465</v>
      </c>
      <c r="C48" s="12" t="s">
        <v>466</v>
      </c>
      <c r="D48" s="12" t="s">
        <v>467</v>
      </c>
      <c r="E48" s="12" t="s">
        <v>336</v>
      </c>
      <c r="F48" s="13">
        <v>3</v>
      </c>
      <c r="G48" s="14">
        <v>20.73</v>
      </c>
      <c r="H48" s="14">
        <f t="shared" si="1"/>
        <v>62.19</v>
      </c>
      <c r="I48" s="11" t="s">
        <v>337</v>
      </c>
      <c r="J48" s="12" t="s">
        <v>332</v>
      </c>
    </row>
    <row r="49" spans="1:10" ht="20.100000000000001" customHeight="1">
      <c r="A49" s="7" t="s">
        <v>468</v>
      </c>
      <c r="B49" s="7" t="s">
        <v>469</v>
      </c>
      <c r="C49" s="8" t="s">
        <v>470</v>
      </c>
      <c r="D49" s="8" t="s">
        <v>471</v>
      </c>
      <c r="E49" s="8" t="s">
        <v>342</v>
      </c>
      <c r="F49" s="9">
        <v>5</v>
      </c>
      <c r="G49" s="10">
        <v>74.52</v>
      </c>
      <c r="H49" s="10">
        <f t="shared" si="1"/>
        <v>372.59999999999997</v>
      </c>
      <c r="I49" s="7" t="s">
        <v>337</v>
      </c>
      <c r="J49" s="8" t="s">
        <v>338</v>
      </c>
    </row>
    <row r="50" spans="1:10" ht="20.100000000000001" customHeight="1">
      <c r="A50" s="11" t="s">
        <v>298</v>
      </c>
      <c r="B50" s="11" t="s">
        <v>401</v>
      </c>
      <c r="C50" s="12" t="s">
        <v>472</v>
      </c>
      <c r="D50" s="12" t="s">
        <v>473</v>
      </c>
      <c r="E50" s="12" t="s">
        <v>355</v>
      </c>
      <c r="F50" s="13">
        <v>4</v>
      </c>
      <c r="G50" s="14">
        <v>21.67</v>
      </c>
      <c r="H50" s="14">
        <f t="shared" si="1"/>
        <v>86.68</v>
      </c>
      <c r="I50" s="11" t="s">
        <v>337</v>
      </c>
      <c r="J50" s="12" t="s">
        <v>361</v>
      </c>
    </row>
    <row r="51" spans="1:10" ht="20.100000000000001" customHeight="1">
      <c r="A51" s="7" t="s">
        <v>474</v>
      </c>
      <c r="B51" s="7" t="s">
        <v>475</v>
      </c>
      <c r="C51" s="8" t="s">
        <v>476</v>
      </c>
      <c r="D51" s="8" t="s">
        <v>477</v>
      </c>
      <c r="E51" s="8" t="s">
        <v>347</v>
      </c>
      <c r="F51" s="9">
        <v>5</v>
      </c>
      <c r="G51" s="10">
        <v>810.92</v>
      </c>
      <c r="H51" s="10">
        <f t="shared" si="1"/>
        <v>4054.6</v>
      </c>
      <c r="I51" s="7" t="s">
        <v>337</v>
      </c>
      <c r="J51" s="8" t="s">
        <v>357</v>
      </c>
    </row>
    <row r="52" spans="1:10" ht="20.100000000000001" customHeight="1">
      <c r="A52" s="11" t="s">
        <v>309</v>
      </c>
      <c r="B52" s="11" t="s">
        <v>362</v>
      </c>
      <c r="C52" s="12" t="s">
        <v>478</v>
      </c>
      <c r="D52" s="12" t="s">
        <v>479</v>
      </c>
      <c r="E52" s="12" t="s">
        <v>336</v>
      </c>
      <c r="F52" s="13">
        <v>3</v>
      </c>
      <c r="G52" s="14">
        <v>40.11</v>
      </c>
      <c r="H52" s="14">
        <f t="shared" si="1"/>
        <v>120.33</v>
      </c>
      <c r="I52" s="11" t="s">
        <v>356</v>
      </c>
      <c r="J52" s="12" t="s">
        <v>285</v>
      </c>
    </row>
    <row r="53" spans="1:10" ht="20.100000000000001" customHeight="1">
      <c r="A53" s="7" t="s">
        <v>315</v>
      </c>
      <c r="B53" s="7" t="s">
        <v>401</v>
      </c>
      <c r="C53" s="8" t="s">
        <v>480</v>
      </c>
      <c r="D53" s="8" t="s">
        <v>481</v>
      </c>
      <c r="E53" s="8" t="s">
        <v>347</v>
      </c>
      <c r="F53" s="9">
        <v>4</v>
      </c>
      <c r="G53" s="10">
        <v>623.03</v>
      </c>
      <c r="H53" s="10">
        <f t="shared" si="1"/>
        <v>2492.12</v>
      </c>
      <c r="I53" s="7" t="s">
        <v>331</v>
      </c>
      <c r="J53" s="8" t="s">
        <v>343</v>
      </c>
    </row>
    <row r="54" spans="1:10" ht="20.100000000000001" customHeight="1">
      <c r="A54" s="11" t="s">
        <v>482</v>
      </c>
      <c r="B54" s="11" t="s">
        <v>483</v>
      </c>
      <c r="C54" s="12" t="s">
        <v>484</v>
      </c>
      <c r="D54" s="12" t="s">
        <v>485</v>
      </c>
      <c r="E54" s="12" t="s">
        <v>355</v>
      </c>
      <c r="F54" s="13">
        <v>4</v>
      </c>
      <c r="G54" s="14">
        <v>22.46</v>
      </c>
      <c r="H54" s="14">
        <f t="shared" si="1"/>
        <v>89.84</v>
      </c>
      <c r="I54" s="11" t="s">
        <v>337</v>
      </c>
      <c r="J54" s="12" t="s">
        <v>351</v>
      </c>
    </row>
    <row r="55" spans="1:10" ht="21.95" customHeight="1">
      <c r="A55" s="15" t="s">
        <v>486</v>
      </c>
      <c r="B55" s="16"/>
      <c r="C55" s="16"/>
      <c r="D55" s="16"/>
      <c r="E55" s="16"/>
      <c r="F55" s="17">
        <f>SUM(F5:F54)</f>
        <v>154</v>
      </c>
      <c r="G55" s="16"/>
      <c r="H55" s="18">
        <f>SUM(H5:H54)</f>
        <v>29432.579999999998</v>
      </c>
      <c r="I55" s="16"/>
      <c r="J5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Before (Messy)</vt:lpstr>
      <vt:lpstr>Data After (Cleaned)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Firmansyah Firmansyah</cp:lastModifiedBy>
  <dcterms:created xsi:type="dcterms:W3CDTF">2026-07-01T02:34:16Z</dcterms:created>
  <dcterms:modified xsi:type="dcterms:W3CDTF">2026-07-01T02:47:44Z</dcterms:modified>
</cp:coreProperties>
</file>